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chris\Desktop\Progetto IUM\deliverables\Assignment 4\"/>
    </mc:Choice>
  </mc:AlternateContent>
  <xr:revisionPtr revIDLastSave="0" documentId="13_ncr:1_{77AB68E7-6907-40B6-984C-144238616332}" xr6:coauthVersionLast="47" xr6:coauthVersionMax="47" xr10:uidLastSave="{00000000-0000-0000-0000-000000000000}"/>
  <bookViews>
    <workbookView xWindow="-105" yWindow="0" windowWidth="14610" windowHeight="15585" firstSheet="2" activeTab="3" xr2:uid="{00000000-000D-0000-FFFF-FFFF00000000}"/>
  </bookViews>
  <sheets>
    <sheet name="BEHAVIOURABILITY" sheetId="1" r:id="rId1"/>
    <sheet name="Quest.Utente1" sheetId="2" r:id="rId2"/>
    <sheet name="MEDIE" sheetId="3" r:id="rId3"/>
    <sheet name="TabRisultati" sheetId="4" r:id="rId4"/>
    <sheet name="Quest.Utente2" sheetId="5" r:id="rId5"/>
    <sheet name="Quest.Utente3" sheetId="6" r:id="rId6"/>
    <sheet name="Quest.Utente4" sheetId="7" r:id="rId7"/>
    <sheet name="Quest.Utente5" sheetId="8" r:id="rId8"/>
    <sheet name="Quest.Utente6" sheetId="9" r:id="rId9"/>
    <sheet name="Quest.Utente7" sheetId="10" r:id="rId10"/>
    <sheet name="Quest.Utente8" sheetId="11" r:id="rId11"/>
    <sheet name="Quest.Utente9" sheetId="12" r:id="rId12"/>
    <sheet name="Quest.Utente10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" i="4" l="1"/>
  <c r="H32" i="13"/>
  <c r="H31" i="13"/>
  <c r="H30" i="13"/>
  <c r="H29" i="13"/>
  <c r="H28" i="13"/>
  <c r="H27" i="13"/>
  <c r="H26" i="13"/>
  <c r="H25" i="13"/>
  <c r="H24" i="13"/>
  <c r="H23" i="13"/>
  <c r="H22" i="13"/>
  <c r="H21" i="13"/>
  <c r="H20" i="13"/>
  <c r="H19" i="13"/>
  <c r="H18" i="13"/>
  <c r="H17" i="13"/>
  <c r="H16" i="13"/>
  <c r="H15" i="13"/>
  <c r="H14" i="13"/>
  <c r="H13" i="13"/>
  <c r="H12" i="13"/>
  <c r="H11" i="13"/>
  <c r="H10" i="13"/>
  <c r="H9" i="13"/>
  <c r="H8" i="13"/>
  <c r="H7" i="13"/>
  <c r="H6" i="13"/>
  <c r="H5" i="13"/>
  <c r="H4" i="13"/>
  <c r="H3" i="13"/>
  <c r="H2" i="13"/>
  <c r="H32" i="12"/>
  <c r="H31" i="12"/>
  <c r="H30" i="12"/>
  <c r="H29" i="12"/>
  <c r="H28" i="12"/>
  <c r="H27" i="12"/>
  <c r="H26" i="12"/>
  <c r="H25" i="12"/>
  <c r="H24" i="12"/>
  <c r="H23" i="12"/>
  <c r="H22" i="12"/>
  <c r="H21" i="12"/>
  <c r="H20" i="12"/>
  <c r="H19" i="12"/>
  <c r="H18" i="12"/>
  <c r="H17" i="12"/>
  <c r="H16" i="12"/>
  <c r="H15" i="12"/>
  <c r="H14" i="12"/>
  <c r="H13" i="12"/>
  <c r="H12" i="12"/>
  <c r="H11" i="12"/>
  <c r="H10" i="12"/>
  <c r="H9" i="12"/>
  <c r="H8" i="12"/>
  <c r="H7" i="12"/>
  <c r="H6" i="12"/>
  <c r="H5" i="12"/>
  <c r="H4" i="12"/>
  <c r="H3" i="12"/>
  <c r="H2" i="12"/>
  <c r="H32" i="11"/>
  <c r="H31" i="11"/>
  <c r="H30" i="11"/>
  <c r="H29" i="11"/>
  <c r="H28" i="11"/>
  <c r="H27" i="11"/>
  <c r="H26" i="11"/>
  <c r="H25" i="11"/>
  <c r="H24" i="11"/>
  <c r="H23" i="11"/>
  <c r="H22" i="11"/>
  <c r="H21" i="11"/>
  <c r="H20" i="11"/>
  <c r="H19" i="11"/>
  <c r="H18" i="11"/>
  <c r="H17" i="11"/>
  <c r="H16" i="11"/>
  <c r="H15" i="11"/>
  <c r="H14" i="11"/>
  <c r="H13" i="11"/>
  <c r="H12" i="11"/>
  <c r="H11" i="11"/>
  <c r="H10" i="11"/>
  <c r="H9" i="11"/>
  <c r="H8" i="11"/>
  <c r="H7" i="11"/>
  <c r="H6" i="11"/>
  <c r="H5" i="11"/>
  <c r="H4" i="11"/>
  <c r="H3" i="11"/>
  <c r="H2" i="11"/>
  <c r="H32" i="10"/>
  <c r="H31" i="10"/>
  <c r="H30" i="10"/>
  <c r="H29" i="10"/>
  <c r="C35" i="3" s="1"/>
  <c r="E6" i="4" s="1"/>
  <c r="H28" i="10"/>
  <c r="H27" i="10"/>
  <c r="H26" i="10"/>
  <c r="H25" i="10"/>
  <c r="H24" i="10"/>
  <c r="H23" i="10"/>
  <c r="H22" i="10"/>
  <c r="H21" i="10"/>
  <c r="H20" i="10"/>
  <c r="H19" i="10"/>
  <c r="H18" i="10"/>
  <c r="H17" i="10"/>
  <c r="C19" i="3" s="1"/>
  <c r="C8" i="4" s="1"/>
  <c r="H16" i="10"/>
  <c r="H15" i="10"/>
  <c r="H14" i="10"/>
  <c r="H13" i="10"/>
  <c r="H12" i="10"/>
  <c r="H11" i="10"/>
  <c r="H10" i="10"/>
  <c r="H9" i="10"/>
  <c r="H8" i="10"/>
  <c r="H7" i="10"/>
  <c r="H6" i="10"/>
  <c r="H5" i="10"/>
  <c r="C5" i="3" s="1"/>
  <c r="H4" i="10"/>
  <c r="H3" i="10"/>
  <c r="H2" i="10"/>
  <c r="H32" i="9"/>
  <c r="H31" i="9"/>
  <c r="H30" i="9"/>
  <c r="H29" i="9"/>
  <c r="H28" i="9"/>
  <c r="H27" i="9"/>
  <c r="H26" i="9"/>
  <c r="H25" i="9"/>
  <c r="H24" i="9"/>
  <c r="H23" i="9"/>
  <c r="H22" i="9"/>
  <c r="H21" i="9"/>
  <c r="H20" i="9"/>
  <c r="H19" i="9"/>
  <c r="H18" i="9"/>
  <c r="H17" i="9"/>
  <c r="H16" i="9"/>
  <c r="H15" i="9"/>
  <c r="H14" i="9"/>
  <c r="H13" i="9"/>
  <c r="H12" i="9"/>
  <c r="H11" i="9"/>
  <c r="H10" i="9"/>
  <c r="H9" i="9"/>
  <c r="H8" i="9"/>
  <c r="H7" i="9"/>
  <c r="H6" i="9"/>
  <c r="H5" i="9"/>
  <c r="H4" i="9"/>
  <c r="H3" i="9"/>
  <c r="H2" i="9"/>
  <c r="H32" i="8"/>
  <c r="H31" i="8"/>
  <c r="H30" i="8"/>
  <c r="H29" i="8"/>
  <c r="H28" i="8"/>
  <c r="H27" i="8"/>
  <c r="H26" i="8"/>
  <c r="H25" i="8"/>
  <c r="H24" i="8"/>
  <c r="H23" i="8"/>
  <c r="H22" i="8"/>
  <c r="H21" i="8"/>
  <c r="H20" i="8"/>
  <c r="H19" i="8"/>
  <c r="H18" i="8"/>
  <c r="H17" i="8"/>
  <c r="H16" i="8"/>
  <c r="H15" i="8"/>
  <c r="H14" i="8"/>
  <c r="H13" i="8"/>
  <c r="H12" i="8"/>
  <c r="H11" i="8"/>
  <c r="H10" i="8"/>
  <c r="H9" i="8"/>
  <c r="H8" i="8"/>
  <c r="H7" i="8"/>
  <c r="H6" i="8"/>
  <c r="H5" i="8"/>
  <c r="H4" i="8"/>
  <c r="H3" i="8"/>
  <c r="H2" i="8"/>
  <c r="H32" i="7"/>
  <c r="H31" i="7"/>
  <c r="H30" i="7"/>
  <c r="H29" i="7"/>
  <c r="H28" i="7"/>
  <c r="H27" i="7"/>
  <c r="H26" i="7"/>
  <c r="H25" i="7"/>
  <c r="H24" i="7"/>
  <c r="H23" i="7"/>
  <c r="H22" i="7"/>
  <c r="H21" i="7"/>
  <c r="H20" i="7"/>
  <c r="H19" i="7"/>
  <c r="H18" i="7"/>
  <c r="H17" i="7"/>
  <c r="H16" i="7"/>
  <c r="H15" i="7"/>
  <c r="H14" i="7"/>
  <c r="C16" i="3" s="1"/>
  <c r="C5" i="4" s="1"/>
  <c r="H13" i="7"/>
  <c r="H12" i="7"/>
  <c r="H11" i="7"/>
  <c r="H10" i="7"/>
  <c r="H9" i="7"/>
  <c r="H8" i="7"/>
  <c r="H7" i="7"/>
  <c r="H6" i="7"/>
  <c r="H5" i="7"/>
  <c r="H4" i="7"/>
  <c r="H3" i="7"/>
  <c r="H2" i="7"/>
  <c r="C2" i="3" s="1"/>
  <c r="H32" i="6"/>
  <c r="H31" i="6"/>
  <c r="H30" i="6"/>
  <c r="H29" i="6"/>
  <c r="H28" i="6"/>
  <c r="H27" i="6"/>
  <c r="H26" i="6"/>
  <c r="H25" i="6"/>
  <c r="H24" i="6"/>
  <c r="H23" i="6"/>
  <c r="H22" i="6"/>
  <c r="H21" i="6"/>
  <c r="H20" i="6"/>
  <c r="H19" i="6"/>
  <c r="H18" i="6"/>
  <c r="H17" i="6"/>
  <c r="H16" i="6"/>
  <c r="H15" i="6"/>
  <c r="H14" i="6"/>
  <c r="H13" i="6"/>
  <c r="H12" i="6"/>
  <c r="H11" i="6"/>
  <c r="H10" i="6"/>
  <c r="H9" i="6"/>
  <c r="H8" i="6"/>
  <c r="H7" i="6"/>
  <c r="H6" i="6"/>
  <c r="H5" i="6"/>
  <c r="H4" i="6"/>
  <c r="H3" i="6"/>
  <c r="H2" i="6"/>
  <c r="H32" i="5"/>
  <c r="H31" i="5"/>
  <c r="H30" i="5"/>
  <c r="H29" i="5"/>
  <c r="H28" i="5"/>
  <c r="H27" i="5"/>
  <c r="H26" i="5"/>
  <c r="H25" i="5"/>
  <c r="H24" i="5"/>
  <c r="H23" i="5"/>
  <c r="H22" i="5"/>
  <c r="H21" i="5"/>
  <c r="H20" i="5"/>
  <c r="H19" i="5"/>
  <c r="H18" i="5"/>
  <c r="C20" i="3" s="1"/>
  <c r="C9" i="4" s="1"/>
  <c r="H17" i="5"/>
  <c r="H16" i="5"/>
  <c r="C18" i="3" s="1"/>
  <c r="C7" i="4" s="1"/>
  <c r="H15" i="5"/>
  <c r="H14" i="5"/>
  <c r="H13" i="5"/>
  <c r="H12" i="5"/>
  <c r="H11" i="5"/>
  <c r="H10" i="5"/>
  <c r="H9" i="5"/>
  <c r="H8" i="5"/>
  <c r="H7" i="5"/>
  <c r="H6" i="5"/>
  <c r="H5" i="5"/>
  <c r="H4" i="5"/>
  <c r="H3" i="5"/>
  <c r="H2" i="5"/>
  <c r="B8" i="4"/>
  <c r="D4" i="4"/>
  <c r="C38" i="3"/>
  <c r="E9" i="4" s="1"/>
  <c r="C36" i="3"/>
  <c r="E7" i="4" s="1"/>
  <c r="C34" i="3"/>
  <c r="E5" i="4" s="1"/>
  <c r="C32" i="3"/>
  <c r="E3" i="4" s="1"/>
  <c r="C24" i="3"/>
  <c r="C14" i="3"/>
  <c r="C3" i="4" s="1"/>
  <c r="C8" i="3"/>
  <c r="C6" i="3"/>
  <c r="B6" i="4" s="1"/>
  <c r="C4" i="3"/>
  <c r="B4" i="4" s="1"/>
  <c r="H32" i="2"/>
  <c r="H31" i="2"/>
  <c r="C37" i="3" s="1"/>
  <c r="E8" i="4" s="1"/>
  <c r="H30" i="2"/>
  <c r="H29" i="2"/>
  <c r="H28" i="2"/>
  <c r="H27" i="2"/>
  <c r="C33" i="3" s="1"/>
  <c r="E4" i="4" s="1"/>
  <c r="H26" i="2"/>
  <c r="H25" i="2"/>
  <c r="C31" i="3" s="1"/>
  <c r="H24" i="2"/>
  <c r="H23" i="2"/>
  <c r="C27" i="3" s="1"/>
  <c r="D9" i="4" s="1"/>
  <c r="H22" i="2"/>
  <c r="C26" i="3" s="1"/>
  <c r="D8" i="4" s="1"/>
  <c r="H21" i="2"/>
  <c r="C25" i="3" s="1"/>
  <c r="D5" i="4" s="1"/>
  <c r="H20" i="2"/>
  <c r="H19" i="2"/>
  <c r="H18" i="2"/>
  <c r="H17" i="2"/>
  <c r="H16" i="2"/>
  <c r="H15" i="2"/>
  <c r="C17" i="3" s="1"/>
  <c r="C6" i="4" s="1"/>
  <c r="H14" i="2"/>
  <c r="H13" i="2"/>
  <c r="C15" i="3" s="1"/>
  <c r="C4" i="4" s="1"/>
  <c r="H12" i="2"/>
  <c r="H11" i="2"/>
  <c r="C13" i="3" s="1"/>
  <c r="H10" i="2"/>
  <c r="H9" i="2"/>
  <c r="C9" i="3" s="1"/>
  <c r="B9" i="4" s="1"/>
  <c r="H8" i="2"/>
  <c r="H7" i="2"/>
  <c r="C7" i="3" s="1"/>
  <c r="B7" i="4" s="1"/>
  <c r="H6" i="2"/>
  <c r="H5" i="2"/>
  <c r="H4" i="2"/>
  <c r="H3" i="2"/>
  <c r="C3" i="3" s="1"/>
  <c r="B3" i="4" s="1"/>
  <c r="H2" i="2"/>
  <c r="C2" i="4" l="1"/>
  <c r="C21" i="3"/>
  <c r="B2" i="4"/>
  <c r="C10" i="3"/>
  <c r="E2" i="4"/>
  <c r="C39" i="3"/>
  <c r="C28" i="3"/>
</calcChain>
</file>

<file path=xl/sharedStrings.xml><?xml version="1.0" encoding="utf-8"?>
<sst xmlns="http://schemas.openxmlformats.org/spreadsheetml/2006/main" count="777" uniqueCount="95">
  <si>
    <t>Decision Making</t>
  </si>
  <si>
    <t xml:space="preserve">Self-Management </t>
  </si>
  <si>
    <t>Engagement</t>
  </si>
  <si>
    <t>T1 Rionoscere l'episodio</t>
  </si>
  <si>
    <t>K&amp;S</t>
  </si>
  <si>
    <t>MOT</t>
  </si>
  <si>
    <t>T2 Passi immediati</t>
  </si>
  <si>
    <t>SE</t>
  </si>
  <si>
    <t>T3 Documentare in sicurezza</t>
  </si>
  <si>
    <t>K&amp;S, PC</t>
  </si>
  <si>
    <t>T4 Segnalare (anche anonimo)</t>
  </si>
  <si>
    <t>T5 Contattare referenti/servizi</t>
  </si>
  <si>
    <t>T6 Supporto alla persona</t>
  </si>
  <si>
    <t>T7 Follow-up del caso</t>
  </si>
  <si>
    <t>T8 Aggregare per prevenzi.</t>
  </si>
  <si>
    <t>SE = Self-Efficacy</t>
  </si>
  <si>
    <t>K&amp;S = Knowledge &amp; Skills</t>
  </si>
  <si>
    <t>PC = Personal Control</t>
  </si>
  <si>
    <t>MOT = Motivation</t>
  </si>
  <si>
    <t>Self Efficacy</t>
  </si>
  <si>
    <t>Scarso</t>
  </si>
  <si>
    <t>Sufficiente</t>
  </si>
  <si>
    <t>Buono</t>
  </si>
  <si>
    <t>Molto Buono</t>
  </si>
  <si>
    <t>Eccellente</t>
  </si>
  <si>
    <t>Valore</t>
  </si>
  <si>
    <t>T1_SE1</t>
  </si>
  <si>
    <t>Quanto ti senti in grado di usare HumanUnity per riconoscere se un episodio è una possibile discriminazione?</t>
  </si>
  <si>
    <t>T2_SE2</t>
  </si>
  <si>
    <t>Quanto ti senti capace di seguire i passi immediati suggeriti da HumanUnity dopo un episodio?</t>
  </si>
  <si>
    <t>T3_SE1</t>
  </si>
  <si>
    <t>Quanto ti senti in grado di documentare in modo chiaro cosa è successo usando HumanUnity (dove, quando, cosa)?</t>
  </si>
  <si>
    <t>T4_SE1</t>
  </si>
  <si>
    <t>Quanto ti senti in grado di completare una segnalazione (anche anonima) tramite HumanUnity?</t>
  </si>
  <si>
    <t>T5_SE1</t>
  </si>
  <si>
    <t>Quanto ti senti capace di usare HumanUnity per contattare i referenti o i servizi giusti (sportello, UNAR, ecc.)?</t>
  </si>
  <si>
    <t>T6_SE1</t>
  </si>
  <si>
    <t>Quanto ti senti in grado di usare HumanUnity per trovare indicazioni su come supportare la persona coinvolta?</t>
  </si>
  <si>
    <t>T7_SE1</t>
  </si>
  <si>
    <t>Quanto ti senti in grado di seguire il follow-up di un caso e capire a che punto è dalla sezione “I tuoi casi”?</t>
  </si>
  <si>
    <t>T8_SE1</t>
  </si>
  <si>
    <t>Quanto ti senti capace di capire, tramite HumanUnity, se ci sono pattern ricorrenti di episodi nell’ateneo?</t>
  </si>
  <si>
    <t>Knowledge&amp;Skills</t>
  </si>
  <si>
    <t>T1_KS1</t>
  </si>
  <si>
    <t>Quanto conosci le categorie di episodio (commenti offensivi, esclusione, minacce…) mostrate da HumanUnity nella fase iniziale?</t>
  </si>
  <si>
    <t>T2_KS1</t>
  </si>
  <si>
    <t>Quanto ti senti competente nel comprendere i passi immediati consigliati da HumanUnity dopo un episodio?</t>
  </si>
  <si>
    <t>T3_KS1</t>
  </si>
  <si>
    <t>Quanto conosci quali dettagli inserire nei campi per documentare in sicurezza luogo, data e descrizione dell’episodio?</t>
  </si>
  <si>
    <t>T4_KS1</t>
  </si>
  <si>
    <t>Quanto ti senti competente nel scegliere tra segnalazione rapida e segnalazione dettagliata in HumanUnity?</t>
  </si>
  <si>
    <t>T5_KS1</t>
  </si>
  <si>
    <t>Quanto conosci le diverse opzioni di contatto (sportello d’ateneo, UNAR, numeri utili) che il sistema propone?</t>
  </si>
  <si>
    <t>T6_KS1</t>
  </si>
  <si>
    <t>Quanto conosci le indicazioni pratiche che HumanUnity fornisce per aiutare una persona che subisce discriminazione?</t>
  </si>
  <si>
    <t>T7_KS1</t>
  </si>
  <si>
    <t>Quanto ti senti competente nel leggere lo stato di un caso (nuovo, in valutazione, chiuso) nella dashboard referenti?</t>
  </si>
  <si>
    <t>T8_KS1</t>
  </si>
  <si>
    <t>Quanto conosci il significato delle informazioni aggregate che potrebbero essere usate per la prevenzione (es. trend per corso/area)?</t>
  </si>
  <si>
    <t>Personal Control</t>
  </si>
  <si>
    <t>T3_PC1</t>
  </si>
  <si>
    <t>Quanto senti di avere controllo sul modo in cui i dettagli dell’episodio vengono registrati in HumanUnity?</t>
  </si>
  <si>
    <t>T4_PC1</t>
  </si>
  <si>
    <t>Quanto senti di poter decidere quali dati inserire e quale livello di anonimato usare nella segnalazione?</t>
  </si>
  <si>
    <t>T7_PC1</t>
  </si>
  <si>
    <t>Quanto senti di avere controllo sulle azioni successive (es. contatti, chiusura del caso) partendo dalla dashboard casi di HumanUnity?</t>
  </si>
  <si>
    <t>T8_PC1</t>
  </si>
  <si>
    <t>Quanto senti di avere controllo su come usare le informazioni aggregate per proporre iniziative di prevenzione nell’ateneo?</t>
  </si>
  <si>
    <t>Motivation</t>
  </si>
  <si>
    <t>T1_MOT1</t>
  </si>
  <si>
    <t>Quanto ti senti motivato a usare HumanUnity per chiarire se ciò che è successo è una discriminazione?</t>
  </si>
  <si>
    <t>T2_MOT1</t>
  </si>
  <si>
    <t>Quanto ti senti motivato a consultare la sezione “Cosa posso fare ora” dopo aver riconosciuto un episodio?</t>
  </si>
  <si>
    <t>T3_MOT1</t>
  </si>
  <si>
    <t>Quanto ti senti motivato a documentare l’episodio subito in HumanUnity, sapendo che potrai rivederlo in seguito?</t>
  </si>
  <si>
    <t>T4_MOT1</t>
  </si>
  <si>
    <t>Quanto ti senti motivato a inviare una segnalazione tramite HumanUnity invece di non fare nulla?</t>
  </si>
  <si>
    <t>T5_MOT1</t>
  </si>
  <si>
    <t>Quanto ti senti motivato a usare le informazioni di contatto fornite dal sistema per chiedere aiuto (sportello d’ateneo, UNAR, numeri)?</t>
  </si>
  <si>
    <t>T6_MOT1</t>
  </si>
  <si>
    <t>Quanto ti senti motivato a usare HumanUnity per sostenere un compagno che ha subito discriminazione?</t>
  </si>
  <si>
    <t>T7_MOT1</t>
  </si>
  <si>
    <t>Quanto ti senti motivato a controllare periodicamente gli aggiornamenti del tuo caso nella sezione “I tuoi casi”?</t>
  </si>
  <si>
    <t>T8_MOT1</t>
  </si>
  <si>
    <t>Quanto ti senti motivato a consultare periodicamente i dati aggregati per capire se la situazione nell’ateneo sta migliorando?</t>
  </si>
  <si>
    <t>Task</t>
  </si>
  <si>
    <t>ISE</t>
  </si>
  <si>
    <t>IKS</t>
  </si>
  <si>
    <t>IPC</t>
  </si>
  <si>
    <t>IMOT</t>
  </si>
  <si>
    <t>LEGENDA:</t>
  </si>
  <si>
    <t>Critico (&lt; 3.6)</t>
  </si>
  <si>
    <t>&lt; 3.6</t>
  </si>
  <si>
    <t>Attenzione (3.6-3.69)</t>
  </si>
  <si>
    <t>3.6-3.69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</si>
</sst>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2" x14ac:knownFonts="1">
    <font>
      <sz val="12"/>
      <color theme="1"/>
      <name val="Calibri"/>
      <scheme val="minor"/>
    </font>
    <font>
      <sz val="12"/>
      <color theme="1"/>
      <name val="Calibri"/>
    </font>
    <font>
      <b/>
      <i/>
      <sz val="16"/>
      <color rgb="FF003366"/>
      <name val="Times New Roman"/>
    </font>
    <font>
      <b/>
      <sz val="10"/>
      <color theme="1"/>
      <name val="Arial"/>
    </font>
    <font>
      <sz val="11"/>
      <color theme="1"/>
      <name val="Arial"/>
    </font>
    <font>
      <sz val="10"/>
      <color theme="1"/>
      <name val="Arial"/>
    </font>
    <font>
      <i/>
      <sz val="12"/>
      <color theme="1"/>
      <name val="Calibri"/>
    </font>
    <font>
      <sz val="16"/>
      <color rgb="FF003366"/>
      <name val="Times"/>
    </font>
    <font>
      <sz val="11"/>
      <color theme="1"/>
      <name val="Calibri"/>
    </font>
    <font>
      <b/>
      <sz val="11"/>
      <name val="Calibri"/>
    </font>
    <font>
      <b/>
      <sz val="12"/>
      <color rgb="FF9C6500"/>
      <name val="Calibri"/>
    </font>
    <font>
      <b/>
      <sz val="12"/>
      <color rgb="FF9C0006"/>
      <name val="Calibri"/>
    </font>
  </fonts>
  <fills count="7">
    <fill>
      <patternFill patternType="none"/>
    </fill>
    <fill>
      <patternFill patternType="gray125"/>
    </fill>
    <fill>
      <patternFill patternType="solid">
        <fgColor rgb="FFCBDEDE"/>
        <bgColor rgb="FFCBDEDE"/>
      </patternFill>
    </fill>
    <fill>
      <patternFill patternType="solid">
        <fgColor rgb="FFFFFFFF"/>
        <bgColor rgb="FFFFFFFF"/>
      </patternFill>
    </fill>
    <fill>
      <patternFill patternType="solid">
        <fgColor rgb="FFDCE6F1"/>
        <bgColor rgb="FFDCE6F1"/>
      </patternFill>
    </fill>
    <fill>
      <patternFill patternType="solid">
        <fgColor rgb="FFFFEB9C"/>
        <bgColor rgb="FFFFEB9C"/>
      </patternFill>
    </fill>
    <fill>
      <patternFill patternType="solid">
        <fgColor rgb="FFFFC7CE"/>
        <bgColor rgb="FFFFC7CE"/>
      </patternFill>
    </fill>
  </fills>
  <borders count="9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/>
      <right/>
      <top/>
      <bottom/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6"/>
  </cellStyleXfs>
  <cellXfs count="33">
    <xf numFmtId="0" fontId="0" fillId="0" borderId="0" xfId="0" applyBorder="1"/>
    <xf numFmtId="0" fontId="1" fillId="0" borderId="0" xfId="0" applyFont="1" applyBorder="1" applyAlignment="1">
      <alignment vertical="center"/>
    </xf>
    <xf numFmtId="0" fontId="2" fillId="2" borderId="1" xfId="0" applyFont="1" applyFill="1" applyBorder="1" applyAlignment="1">
      <alignment horizontal="center" vertical="center" wrapText="1" readingOrder="1"/>
    </xf>
    <xf numFmtId="0" fontId="3" fillId="3" borderId="2" xfId="0" applyFont="1" applyFill="1" applyBorder="1" applyAlignment="1">
      <alignment wrapText="1"/>
    </xf>
    <xf numFmtId="0" fontId="4" fillId="0" borderId="3" xfId="0" applyFont="1" applyBorder="1" applyAlignment="1">
      <alignment wrapText="1"/>
    </xf>
    <xf numFmtId="0" fontId="5" fillId="0" borderId="3" xfId="0" applyFont="1" applyBorder="1" applyAlignment="1">
      <alignment wrapText="1"/>
    </xf>
    <xf numFmtId="0" fontId="4" fillId="0" borderId="2" xfId="0" applyFont="1" applyBorder="1" applyAlignment="1">
      <alignment wrapText="1"/>
    </xf>
    <xf numFmtId="0" fontId="3" fillId="3" borderId="4" xfId="0" applyFont="1" applyFill="1" applyBorder="1" applyAlignment="1">
      <alignment wrapText="1"/>
    </xf>
    <xf numFmtId="0" fontId="4" fillId="0" borderId="5" xfId="0" applyFont="1" applyBorder="1" applyAlignment="1">
      <alignment wrapText="1"/>
    </xf>
    <xf numFmtId="0" fontId="4" fillId="0" borderId="4" xfId="0" applyFont="1" applyBorder="1" applyAlignment="1">
      <alignment wrapText="1"/>
    </xf>
    <xf numFmtId="0" fontId="3" fillId="3" borderId="6" xfId="0" applyFont="1" applyFill="1" applyAlignment="1">
      <alignment wrapText="1"/>
    </xf>
    <xf numFmtId="0" fontId="4" fillId="0" borderId="0" xfId="0" applyFont="1" applyBorder="1" applyAlignment="1">
      <alignment wrapText="1"/>
    </xf>
    <xf numFmtId="0" fontId="6" fillId="0" borderId="0" xfId="0" applyFont="1" applyBorder="1"/>
    <xf numFmtId="0" fontId="7" fillId="2" borderId="1" xfId="0" applyFont="1" applyFill="1" applyBorder="1" applyAlignment="1">
      <alignment horizontal="center" vertical="center" wrapText="1" readingOrder="1"/>
    </xf>
    <xf numFmtId="0" fontId="7" fillId="2" borderId="7" xfId="0" applyFont="1" applyFill="1" applyBorder="1" applyAlignment="1">
      <alignment horizontal="center" vertical="center" wrapText="1" readingOrder="1"/>
    </xf>
    <xf numFmtId="0" fontId="6" fillId="0" borderId="0" xfId="0" applyFont="1" applyBorder="1" applyAlignment="1">
      <alignment wrapText="1"/>
    </xf>
    <xf numFmtId="0" fontId="8" fillId="0" borderId="0" xfId="0" applyFont="1" applyBorder="1" applyAlignment="1">
      <alignment horizontal="center"/>
    </xf>
    <xf numFmtId="0" fontId="1" fillId="0" borderId="0" xfId="0" applyFont="1" applyBorder="1" applyAlignment="1">
      <alignment horizontal="right"/>
    </xf>
    <xf numFmtId="0" fontId="1" fillId="0" borderId="0" xfId="0" applyFont="1" applyBorder="1" applyAlignment="1">
      <alignment wrapText="1"/>
    </xf>
    <xf numFmtId="0" fontId="6" fillId="0" borderId="6" xfId="0" applyFont="1" applyAlignment="1">
      <alignment wrapText="1"/>
    </xf>
    <xf numFmtId="0" fontId="8" fillId="0" borderId="6" xfId="0" applyFont="1" applyAlignment="1">
      <alignment horizontal="center"/>
    </xf>
    <xf numFmtId="0" fontId="1" fillId="0" borderId="6" xfId="0" applyFont="1" applyAlignment="1">
      <alignment horizontal="right"/>
    </xf>
    <xf numFmtId="0" fontId="1" fillId="0" borderId="6" xfId="0" applyFont="1" applyAlignment="1">
      <alignment wrapText="1"/>
    </xf>
    <xf numFmtId="0" fontId="9" fillId="4" borderId="8" xfId="0" applyFont="1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8" xfId="0" applyBorder="1" applyAlignment="1">
      <alignment horizontal="left" vertical="center"/>
    </xf>
    <xf numFmtId="2" fontId="0" fillId="0" borderId="8" xfId="0" applyNumberFormat="1" applyBorder="1" applyAlignment="1">
      <alignment horizontal="center" vertical="center"/>
    </xf>
    <xf numFmtId="164" fontId="0" fillId="0" borderId="8" xfId="0" applyNumberFormat="1" applyBorder="1" applyAlignment="1">
      <alignment horizontal="center" vertical="center"/>
    </xf>
    <xf numFmtId="164" fontId="10" fillId="5" borderId="8" xfId="0" applyNumberFormat="1" applyFont="1" applyFill="1" applyBorder="1" applyAlignment="1">
      <alignment horizontal="center" vertical="center"/>
    </xf>
    <xf numFmtId="164" fontId="11" fillId="6" borderId="8" xfId="0" applyNumberFormat="1" applyFont="1" applyFill="1" applyBorder="1" applyAlignment="1">
      <alignment horizontal="center" vertical="center"/>
    </xf>
    <xf numFmtId="0" fontId="9" fillId="0" borderId="0" xfId="0" applyFont="1" applyBorder="1"/>
    <xf numFmtId="0" fontId="11" fillId="6" borderId="0" xfId="0" applyFont="1" applyFill="1" applyBorder="1" applyAlignment="1">
      <alignment horizontal="center" vertical="center"/>
    </xf>
    <xf numFmtId="0" fontId="10" fillId="5" borderId="0" xfId="0" applyFont="1" applyFill="1" applyBorder="1" applyAlignment="1">
      <alignment horizontal="center" vertic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4"/>
  <sheetViews>
    <sheetView workbookViewId="0">
      <pane ySplit="1" topLeftCell="A2" activePane="bottomLeft" state="frozen"/>
      <selection pane="bottomLeft" activeCell="B13" sqref="B13"/>
    </sheetView>
  </sheetViews>
  <sheetFormatPr defaultColWidth="11.25" defaultRowHeight="15" customHeight="1" x14ac:dyDescent="0.25"/>
  <cols>
    <col min="1" max="1" width="22.375" customWidth="1"/>
    <col min="2" max="2" width="21.75" customWidth="1"/>
    <col min="3" max="3" width="20" customWidth="1"/>
    <col min="4" max="4" width="13.75" customWidth="1"/>
    <col min="5" max="26" width="8.625" customWidth="1"/>
  </cols>
  <sheetData>
    <row r="1" spans="1:26" ht="40.5" customHeight="1" x14ac:dyDescent="0.25">
      <c r="A1" s="1"/>
      <c r="B1" s="2" t="s">
        <v>0</v>
      </c>
      <c r="C1" s="2" t="s">
        <v>1</v>
      </c>
      <c r="D1" s="2" t="s">
        <v>2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 x14ac:dyDescent="0.25">
      <c r="A2" s="3" t="s">
        <v>3</v>
      </c>
      <c r="B2" s="4" t="s">
        <v>4</v>
      </c>
      <c r="C2" s="5"/>
      <c r="D2" s="6" t="s">
        <v>5</v>
      </c>
    </row>
    <row r="3" spans="1:26" ht="15.75" customHeight="1" x14ac:dyDescent="0.25">
      <c r="A3" s="7" t="s">
        <v>6</v>
      </c>
      <c r="B3" s="8" t="s">
        <v>4</v>
      </c>
      <c r="C3" s="8" t="s">
        <v>7</v>
      </c>
      <c r="D3" s="9" t="s">
        <v>5</v>
      </c>
    </row>
    <row r="4" spans="1:26" ht="26.25" customHeight="1" x14ac:dyDescent="0.25">
      <c r="A4" s="7" t="s">
        <v>8</v>
      </c>
      <c r="B4" s="8" t="s">
        <v>9</v>
      </c>
      <c r="C4" s="8" t="s">
        <v>7</v>
      </c>
      <c r="D4" s="9" t="s">
        <v>5</v>
      </c>
    </row>
    <row r="5" spans="1:26" ht="26.25" customHeight="1" x14ac:dyDescent="0.25">
      <c r="A5" s="7" t="s">
        <v>10</v>
      </c>
      <c r="B5" s="8" t="s">
        <v>9</v>
      </c>
      <c r="C5" s="8" t="s">
        <v>7</v>
      </c>
      <c r="D5" s="9" t="s">
        <v>5</v>
      </c>
    </row>
    <row r="6" spans="1:26" ht="26.25" customHeight="1" x14ac:dyDescent="0.25">
      <c r="A6" s="7" t="s">
        <v>11</v>
      </c>
      <c r="B6" s="8" t="s">
        <v>4</v>
      </c>
      <c r="C6" s="8" t="s">
        <v>7</v>
      </c>
      <c r="D6" s="9" t="s">
        <v>5</v>
      </c>
    </row>
    <row r="7" spans="1:26" ht="15.75" customHeight="1" x14ac:dyDescent="0.25">
      <c r="A7" s="7" t="s">
        <v>12</v>
      </c>
      <c r="B7" s="8" t="s">
        <v>4</v>
      </c>
      <c r="C7" s="8" t="s">
        <v>7</v>
      </c>
      <c r="D7" s="9" t="s">
        <v>5</v>
      </c>
    </row>
    <row r="8" spans="1:26" ht="16.5" customHeight="1" thickBot="1" x14ac:dyDescent="0.3">
      <c r="A8" s="7" t="s">
        <v>13</v>
      </c>
      <c r="B8" s="8" t="s">
        <v>9</v>
      </c>
      <c r="C8" s="8" t="s">
        <v>7</v>
      </c>
      <c r="D8" s="9" t="s">
        <v>5</v>
      </c>
    </row>
    <row r="9" spans="1:26" ht="27" customHeight="1" thickBot="1" x14ac:dyDescent="0.3">
      <c r="A9" s="7" t="s">
        <v>14</v>
      </c>
      <c r="B9" s="8" t="s">
        <v>9</v>
      </c>
      <c r="C9" s="8" t="s">
        <v>7</v>
      </c>
      <c r="D9" s="9" t="s">
        <v>5</v>
      </c>
    </row>
    <row r="10" spans="1:26" ht="15.75" customHeight="1" x14ac:dyDescent="0.25">
      <c r="A10" s="10"/>
      <c r="B10" s="11"/>
      <c r="C10" s="11"/>
      <c r="D10" s="11"/>
    </row>
    <row r="11" spans="1:26" ht="15.75" customHeight="1" x14ac:dyDescent="0.25">
      <c r="A11" s="12" t="s">
        <v>15</v>
      </c>
    </row>
    <row r="12" spans="1:26" ht="15.75" customHeight="1" x14ac:dyDescent="0.25">
      <c r="A12" s="12" t="s">
        <v>16</v>
      </c>
    </row>
    <row r="13" spans="1:26" ht="15.75" customHeight="1" x14ac:dyDescent="0.25">
      <c r="A13" s="12" t="s">
        <v>17</v>
      </c>
    </row>
    <row r="14" spans="1:26" ht="15.75" customHeight="1" x14ac:dyDescent="0.25">
      <c r="A14" s="12" t="s">
        <v>18</v>
      </c>
    </row>
  </sheetData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2"/>
  <sheetViews>
    <sheetView workbookViewId="0">
      <selection activeCell="H2" sqref="H2"/>
    </sheetView>
  </sheetViews>
  <sheetFormatPr defaultColWidth="11.25" defaultRowHeight="15" customHeight="1" x14ac:dyDescent="0.25"/>
  <cols>
    <col min="1" max="1" width="18.625" customWidth="1"/>
    <col min="2" max="2" width="54.5" customWidth="1"/>
    <col min="3" max="3" width="8.625" customWidth="1"/>
    <col min="4" max="4" width="10.25" customWidth="1"/>
    <col min="5" max="6" width="8.625" customWidth="1"/>
    <col min="7" max="7" width="8.125" customWidth="1"/>
    <col min="8" max="8" width="14.625" customWidth="1"/>
    <col min="9" max="25" width="8.625" customWidth="1"/>
  </cols>
  <sheetData>
    <row r="1" spans="1:8" ht="40.5" customHeight="1" x14ac:dyDescent="0.25">
      <c r="B1" s="13" t="s">
        <v>19</v>
      </c>
      <c r="C1" s="13" t="s">
        <v>20</v>
      </c>
      <c r="D1" s="13" t="s">
        <v>21</v>
      </c>
      <c r="E1" s="13" t="s">
        <v>22</v>
      </c>
      <c r="F1" s="13" t="s">
        <v>23</v>
      </c>
      <c r="G1" s="13" t="s">
        <v>24</v>
      </c>
      <c r="H1" s="14" t="s">
        <v>25</v>
      </c>
    </row>
    <row r="2" spans="1:8" ht="30" customHeight="1" x14ac:dyDescent="0.25">
      <c r="A2" s="13" t="s">
        <v>26</v>
      </c>
      <c r="B2" s="15" t="s">
        <v>27</v>
      </c>
      <c r="C2" s="16" t="b">
        <v>0</v>
      </c>
      <c r="D2" s="16" t="b">
        <v>0</v>
      </c>
      <c r="E2" s="16" t="b">
        <v>1</v>
      </c>
      <c r="F2" s="16" t="b">
        <v>0</v>
      </c>
      <c r="G2" s="16" t="b">
        <v>0</v>
      </c>
      <c r="H2" s="17">
        <f t="shared" ref="H2:H9" si="0">IF(C2,1,0) + IF(D2,2,0) + IF(E2,3,0) + IF(F2,4,0) + IF(G2,5,0)</f>
        <v>3</v>
      </c>
    </row>
    <row r="3" spans="1:8" ht="31.5" customHeight="1" x14ac:dyDescent="0.25">
      <c r="A3" s="13" t="s">
        <v>28</v>
      </c>
      <c r="B3" s="18" t="s">
        <v>29</v>
      </c>
      <c r="C3" s="16" t="b">
        <v>0</v>
      </c>
      <c r="D3" s="16" t="b">
        <v>0</v>
      </c>
      <c r="E3" s="16" t="b">
        <v>0</v>
      </c>
      <c r="F3" s="16" t="b">
        <v>1</v>
      </c>
      <c r="G3" s="16" t="b">
        <v>0</v>
      </c>
      <c r="H3" s="17">
        <f t="shared" si="0"/>
        <v>4</v>
      </c>
    </row>
    <row r="4" spans="1:8" ht="31.5" customHeight="1" x14ac:dyDescent="0.25">
      <c r="A4" s="13" t="s">
        <v>30</v>
      </c>
      <c r="B4" s="18" t="s">
        <v>31</v>
      </c>
      <c r="C4" s="16" t="b">
        <v>0</v>
      </c>
      <c r="D4" s="16" t="b">
        <v>0</v>
      </c>
      <c r="E4" s="16" t="b">
        <v>0</v>
      </c>
      <c r="F4" s="16" t="b">
        <v>1</v>
      </c>
      <c r="G4" s="16" t="b">
        <v>0</v>
      </c>
      <c r="H4" s="17">
        <f t="shared" si="0"/>
        <v>4</v>
      </c>
    </row>
    <row r="5" spans="1:8" ht="31.5" customHeight="1" x14ac:dyDescent="0.25">
      <c r="A5" s="13" t="s">
        <v>32</v>
      </c>
      <c r="B5" s="18" t="s">
        <v>33</v>
      </c>
      <c r="C5" s="16" t="b">
        <v>0</v>
      </c>
      <c r="D5" s="16" t="b">
        <v>0</v>
      </c>
      <c r="E5" s="16" t="b">
        <v>0</v>
      </c>
      <c r="F5" s="16" t="b">
        <v>1</v>
      </c>
      <c r="G5" s="16" t="b">
        <v>0</v>
      </c>
      <c r="H5" s="17">
        <f t="shared" si="0"/>
        <v>4</v>
      </c>
    </row>
    <row r="6" spans="1:8" ht="31.5" customHeight="1" x14ac:dyDescent="0.25">
      <c r="A6" s="13" t="s">
        <v>34</v>
      </c>
      <c r="B6" s="18" t="s">
        <v>35</v>
      </c>
      <c r="C6" s="16" t="b">
        <v>0</v>
      </c>
      <c r="D6" s="16" t="b">
        <v>0</v>
      </c>
      <c r="E6" s="16" t="b">
        <v>0</v>
      </c>
      <c r="F6" s="16" t="b">
        <v>1</v>
      </c>
      <c r="G6" s="16" t="b">
        <v>0</v>
      </c>
      <c r="H6" s="17">
        <f t="shared" si="0"/>
        <v>4</v>
      </c>
    </row>
    <row r="7" spans="1:8" ht="31.5" customHeight="1" x14ac:dyDescent="0.25">
      <c r="A7" s="13" t="s">
        <v>36</v>
      </c>
      <c r="B7" s="18" t="s">
        <v>37</v>
      </c>
      <c r="C7" s="16" t="b">
        <v>0</v>
      </c>
      <c r="D7" s="16" t="b">
        <v>0</v>
      </c>
      <c r="E7" s="16" t="b">
        <v>0</v>
      </c>
      <c r="F7" s="16" t="b">
        <v>0</v>
      </c>
      <c r="G7" s="16" t="b">
        <v>1</v>
      </c>
      <c r="H7" s="17">
        <f t="shared" si="0"/>
        <v>5</v>
      </c>
    </row>
    <row r="8" spans="1:8" ht="31.5" customHeight="1" x14ac:dyDescent="0.25">
      <c r="A8" s="13" t="s">
        <v>38</v>
      </c>
      <c r="B8" s="18" t="s">
        <v>39</v>
      </c>
      <c r="C8" s="16" t="b">
        <v>0</v>
      </c>
      <c r="D8" s="16" t="b">
        <v>0</v>
      </c>
      <c r="E8" s="16" t="b">
        <v>1</v>
      </c>
      <c r="F8" s="16" t="b">
        <v>0</v>
      </c>
      <c r="G8" s="16" t="b">
        <v>0</v>
      </c>
      <c r="H8" s="17">
        <f t="shared" si="0"/>
        <v>3</v>
      </c>
    </row>
    <row r="9" spans="1:8" ht="32.25" customHeight="1" thickBot="1" x14ac:dyDescent="0.3">
      <c r="A9" s="13" t="s">
        <v>40</v>
      </c>
      <c r="B9" s="18" t="s">
        <v>41</v>
      </c>
      <c r="C9" s="16" t="b">
        <v>0</v>
      </c>
      <c r="D9" s="16" t="b">
        <v>0</v>
      </c>
      <c r="E9" s="16" t="b">
        <v>1</v>
      </c>
      <c r="F9" s="16" t="b">
        <v>0</v>
      </c>
      <c r="G9" s="16" t="b">
        <v>0</v>
      </c>
      <c r="H9" s="17">
        <f t="shared" si="0"/>
        <v>3</v>
      </c>
    </row>
    <row r="10" spans="1:8" ht="21" customHeight="1" thickBot="1" x14ac:dyDescent="0.3">
      <c r="A10" s="13"/>
      <c r="B10" s="13" t="s">
        <v>42</v>
      </c>
      <c r="C10" s="16" t="b">
        <v>0</v>
      </c>
      <c r="D10" s="16" t="b">
        <v>0</v>
      </c>
      <c r="E10" s="16" t="b">
        <v>0</v>
      </c>
      <c r="F10" s="16" t="b">
        <v>0</v>
      </c>
      <c r="G10" s="16" t="b">
        <v>0</v>
      </c>
      <c r="H10" s="17">
        <f>IF(C10=TRUE,1,0) + IF(D10=TRUE,2,0) + IF(E10=TRUE,3,0) + IF(F10=TRUE,4,0) + IF(G10=TRUE,5,0)</f>
        <v>0</v>
      </c>
    </row>
    <row r="11" spans="1:8" ht="47.25" customHeight="1" x14ac:dyDescent="0.25">
      <c r="A11" s="13" t="s">
        <v>43</v>
      </c>
      <c r="B11" s="18" t="s">
        <v>44</v>
      </c>
      <c r="C11" s="16" t="b">
        <v>0</v>
      </c>
      <c r="D11" s="16" t="b">
        <v>0</v>
      </c>
      <c r="E11" s="16" t="b">
        <v>0</v>
      </c>
      <c r="F11" s="16" t="b">
        <v>1</v>
      </c>
      <c r="G11" s="16" t="b">
        <v>0</v>
      </c>
      <c r="H11" s="17">
        <f t="shared" ref="H11:H18" si="1">IF(C11,1,0) + IF(D11,2,0) + IF(E11,3,0) + IF(F11,4,0) + IF(G11,5,0)</f>
        <v>4</v>
      </c>
    </row>
    <row r="12" spans="1:8" ht="31.5" customHeight="1" x14ac:dyDescent="0.25">
      <c r="A12" s="13" t="s">
        <v>45</v>
      </c>
      <c r="B12" s="18" t="s">
        <v>46</v>
      </c>
      <c r="C12" s="16" t="b">
        <v>0</v>
      </c>
      <c r="D12" s="16" t="b">
        <v>0</v>
      </c>
      <c r="E12" s="16" t="b">
        <v>0</v>
      </c>
      <c r="F12" s="16" t="b">
        <v>0</v>
      </c>
      <c r="G12" s="16" t="b">
        <v>1</v>
      </c>
      <c r="H12" s="17">
        <f t="shared" si="1"/>
        <v>5</v>
      </c>
    </row>
    <row r="13" spans="1:8" ht="47.25" customHeight="1" x14ac:dyDescent="0.25">
      <c r="A13" s="13" t="s">
        <v>47</v>
      </c>
      <c r="B13" s="18" t="s">
        <v>48</v>
      </c>
      <c r="C13" s="16" t="b">
        <v>0</v>
      </c>
      <c r="D13" s="16" t="b">
        <v>0</v>
      </c>
      <c r="E13" s="16" t="b">
        <v>0</v>
      </c>
      <c r="F13" s="16" t="b">
        <v>1</v>
      </c>
      <c r="G13" s="16" t="b">
        <v>0</v>
      </c>
      <c r="H13" s="17">
        <f t="shared" si="1"/>
        <v>4</v>
      </c>
    </row>
    <row r="14" spans="1:8" ht="31.5" customHeight="1" x14ac:dyDescent="0.25">
      <c r="A14" s="13" t="s">
        <v>49</v>
      </c>
      <c r="B14" s="18" t="s">
        <v>50</v>
      </c>
      <c r="C14" s="16" t="b">
        <v>0</v>
      </c>
      <c r="D14" s="16" t="b">
        <v>0</v>
      </c>
      <c r="E14" s="16" t="b">
        <v>1</v>
      </c>
      <c r="F14" s="16" t="b">
        <v>0</v>
      </c>
      <c r="G14" s="16" t="b">
        <v>0</v>
      </c>
      <c r="H14" s="17">
        <f t="shared" si="1"/>
        <v>3</v>
      </c>
    </row>
    <row r="15" spans="1:8" ht="31.5" customHeight="1" x14ac:dyDescent="0.25">
      <c r="A15" s="13" t="s">
        <v>51</v>
      </c>
      <c r="B15" s="18" t="s">
        <v>52</v>
      </c>
      <c r="C15" s="16" t="b">
        <v>0</v>
      </c>
      <c r="D15" s="16" t="b">
        <v>0</v>
      </c>
      <c r="E15" s="16" t="b">
        <v>1</v>
      </c>
      <c r="F15" s="16" t="b">
        <v>0</v>
      </c>
      <c r="G15" s="16" t="b">
        <v>0</v>
      </c>
      <c r="H15" s="17">
        <f t="shared" si="1"/>
        <v>3</v>
      </c>
    </row>
    <row r="16" spans="1:8" ht="31.5" customHeight="1" x14ac:dyDescent="0.25">
      <c r="A16" s="13" t="s">
        <v>53</v>
      </c>
      <c r="B16" s="18" t="s">
        <v>54</v>
      </c>
      <c r="C16" s="16" t="b">
        <v>0</v>
      </c>
      <c r="D16" s="16" t="b">
        <v>0</v>
      </c>
      <c r="E16" s="16" t="b">
        <v>0</v>
      </c>
      <c r="F16" s="16" t="b">
        <v>0</v>
      </c>
      <c r="G16" s="16" t="b">
        <v>1</v>
      </c>
      <c r="H16" s="17">
        <f t="shared" si="1"/>
        <v>5</v>
      </c>
    </row>
    <row r="17" spans="1:8" ht="31.5" customHeight="1" x14ac:dyDescent="0.25">
      <c r="A17" s="13" t="s">
        <v>55</v>
      </c>
      <c r="B17" s="18" t="s">
        <v>56</v>
      </c>
      <c r="C17" s="16" t="b">
        <v>0</v>
      </c>
      <c r="D17" s="16" t="b">
        <v>0</v>
      </c>
      <c r="E17" s="16" t="b">
        <v>0</v>
      </c>
      <c r="F17" s="16" t="b">
        <v>1</v>
      </c>
      <c r="G17" s="16" t="b">
        <v>0</v>
      </c>
      <c r="H17" s="17">
        <f t="shared" si="1"/>
        <v>4</v>
      </c>
    </row>
    <row r="18" spans="1:8" ht="48" customHeight="1" thickBot="1" x14ac:dyDescent="0.3">
      <c r="A18" s="13" t="s">
        <v>57</v>
      </c>
      <c r="B18" s="18" t="s">
        <v>58</v>
      </c>
      <c r="C18" s="16" t="b">
        <v>0</v>
      </c>
      <c r="D18" s="16" t="b">
        <v>0</v>
      </c>
      <c r="E18" s="16" t="b">
        <v>0</v>
      </c>
      <c r="F18" s="16" t="b">
        <v>1</v>
      </c>
      <c r="G18" s="16" t="b">
        <v>0</v>
      </c>
      <c r="H18" s="17">
        <f t="shared" si="1"/>
        <v>4</v>
      </c>
    </row>
    <row r="19" spans="1:8" ht="21" customHeight="1" thickBot="1" x14ac:dyDescent="0.3">
      <c r="A19" s="13"/>
      <c r="B19" s="13" t="s">
        <v>59</v>
      </c>
      <c r="C19" s="16" t="b">
        <v>0</v>
      </c>
      <c r="D19" s="16" t="b">
        <v>0</v>
      </c>
      <c r="E19" s="16" t="b">
        <v>0</v>
      </c>
      <c r="F19" s="16" t="b">
        <v>0</v>
      </c>
      <c r="G19" s="16" t="b">
        <v>0</v>
      </c>
      <c r="H19" s="17">
        <f>IF(C19=TRUE,1,0) + IF(D19=TRUE,2,0) + IF(E19=TRUE,3,0) + IF(F19=TRUE,4,0) + IF(G19=TRUE,5,0)</f>
        <v>0</v>
      </c>
    </row>
    <row r="20" spans="1:8" ht="31.5" customHeight="1" x14ac:dyDescent="0.25">
      <c r="A20" s="13" t="s">
        <v>60</v>
      </c>
      <c r="B20" s="18" t="s">
        <v>61</v>
      </c>
      <c r="C20" s="16" t="b">
        <v>0</v>
      </c>
      <c r="D20" s="16" t="b">
        <v>0</v>
      </c>
      <c r="E20" s="16" t="b">
        <v>0</v>
      </c>
      <c r="F20" s="16" t="b">
        <v>1</v>
      </c>
      <c r="G20" s="16" t="b">
        <v>0</v>
      </c>
      <c r="H20" s="17">
        <f>IF(C20,1,0) + IF(D20,2,0) + IF(E20,3,0) + IF(F20,4,0) + IF(G20,5,0)</f>
        <v>4</v>
      </c>
    </row>
    <row r="21" spans="1:8" ht="31.5" customHeight="1" x14ac:dyDescent="0.25">
      <c r="A21" s="13" t="s">
        <v>62</v>
      </c>
      <c r="B21" s="18" t="s">
        <v>63</v>
      </c>
      <c r="C21" s="16" t="b">
        <v>0</v>
      </c>
      <c r="D21" s="16" t="b">
        <v>0</v>
      </c>
      <c r="E21" s="16" t="b">
        <v>0</v>
      </c>
      <c r="F21" s="16" t="b">
        <v>1</v>
      </c>
      <c r="G21" s="16" t="b">
        <v>0</v>
      </c>
      <c r="H21" s="17">
        <f>IF(C21,1,0) + IF(D21,2,0) + IF(E21,3,0) + IF(F21,4,0) + IF(G21,5,0)</f>
        <v>4</v>
      </c>
    </row>
    <row r="22" spans="1:8" ht="47.25" customHeight="1" x14ac:dyDescent="0.25">
      <c r="A22" s="13" t="s">
        <v>64</v>
      </c>
      <c r="B22" s="18" t="s">
        <v>65</v>
      </c>
      <c r="C22" s="16" t="b">
        <v>0</v>
      </c>
      <c r="D22" s="16" t="b">
        <v>0</v>
      </c>
      <c r="E22" s="16" t="b">
        <v>0</v>
      </c>
      <c r="F22" s="16" t="b">
        <v>1</v>
      </c>
      <c r="G22" s="16" t="b">
        <v>0</v>
      </c>
      <c r="H22" s="17">
        <f>IF(C22,1,0) + IF(D22,2,0) + IF(E22,3,0) + IF(F22,4,0) + IF(G22,5,0)</f>
        <v>4</v>
      </c>
    </row>
    <row r="23" spans="1:8" ht="32.25" customHeight="1" thickBot="1" x14ac:dyDescent="0.3">
      <c r="A23" s="13" t="s">
        <v>66</v>
      </c>
      <c r="B23" s="18" t="s">
        <v>67</v>
      </c>
      <c r="C23" s="16" t="b">
        <v>0</v>
      </c>
      <c r="D23" s="16" t="b">
        <v>0</v>
      </c>
      <c r="E23" s="16" t="b">
        <v>0</v>
      </c>
      <c r="F23" s="16" t="b">
        <v>1</v>
      </c>
      <c r="G23" s="16" t="b">
        <v>0</v>
      </c>
      <c r="H23" s="17">
        <f>IF(C23,1,0) + IF(D23,2,0) + IF(E23,3,0) + IF(F23,4,0) + IF(G23,5,0)</f>
        <v>4</v>
      </c>
    </row>
    <row r="24" spans="1:8" ht="21" customHeight="1" thickBot="1" x14ac:dyDescent="0.3">
      <c r="A24" s="13"/>
      <c r="B24" s="13" t="s">
        <v>68</v>
      </c>
      <c r="C24" s="16" t="b">
        <v>0</v>
      </c>
      <c r="D24" s="16" t="b">
        <v>0</v>
      </c>
      <c r="E24" s="16" t="b">
        <v>0</v>
      </c>
      <c r="F24" s="16" t="b">
        <v>0</v>
      </c>
      <c r="G24" s="16" t="b">
        <v>0</v>
      </c>
      <c r="H24" s="17">
        <f>IF(C24=TRUE,1,0) + IF(D24=TRUE,2,0) + IF(E24=TRUE,3,0) + IF(F24=TRUE,4,0) + IF(G24=TRUE,5,0)</f>
        <v>0</v>
      </c>
    </row>
    <row r="25" spans="1:8" ht="31.5" customHeight="1" x14ac:dyDescent="0.25">
      <c r="A25" s="13" t="s">
        <v>69</v>
      </c>
      <c r="B25" s="18" t="s">
        <v>70</v>
      </c>
      <c r="C25" s="16" t="b">
        <v>0</v>
      </c>
      <c r="D25" s="16" t="b">
        <v>0</v>
      </c>
      <c r="E25" s="16" t="b">
        <v>0</v>
      </c>
      <c r="F25" s="16" t="b">
        <v>0</v>
      </c>
      <c r="G25" s="16" t="b">
        <v>1</v>
      </c>
      <c r="H25" s="17">
        <f t="shared" ref="H25:H32" si="2">IF(C25,1,0) + IF(D25,2,0) + IF(E25,3,0) + IF(F25,4,0) + IF(G25,5,0)</f>
        <v>5</v>
      </c>
    </row>
    <row r="26" spans="1:8" ht="31.5" customHeight="1" x14ac:dyDescent="0.25">
      <c r="A26" s="13" t="s">
        <v>71</v>
      </c>
      <c r="B26" s="18" t="s">
        <v>72</v>
      </c>
      <c r="C26" s="16" t="b">
        <v>0</v>
      </c>
      <c r="D26" s="16" t="b">
        <v>0</v>
      </c>
      <c r="E26" s="16" t="b">
        <v>0</v>
      </c>
      <c r="F26" s="16" t="b">
        <v>1</v>
      </c>
      <c r="G26" s="16" t="b">
        <v>0</v>
      </c>
      <c r="H26" s="17">
        <f t="shared" si="2"/>
        <v>4</v>
      </c>
    </row>
    <row r="27" spans="1:8" ht="31.5" customHeight="1" x14ac:dyDescent="0.25">
      <c r="A27" s="13" t="s">
        <v>73</v>
      </c>
      <c r="B27" s="18" t="s">
        <v>74</v>
      </c>
      <c r="C27" s="16" t="b">
        <v>0</v>
      </c>
      <c r="D27" s="16" t="b">
        <v>0</v>
      </c>
      <c r="E27" s="16" t="b">
        <v>1</v>
      </c>
      <c r="F27" s="16" t="b">
        <v>0</v>
      </c>
      <c r="G27" s="16" t="b">
        <v>0</v>
      </c>
      <c r="H27" s="17">
        <f t="shared" si="2"/>
        <v>3</v>
      </c>
    </row>
    <row r="28" spans="1:8" ht="31.5" customHeight="1" x14ac:dyDescent="0.25">
      <c r="A28" s="13" t="s">
        <v>75</v>
      </c>
      <c r="B28" s="15" t="s">
        <v>76</v>
      </c>
      <c r="C28" s="16" t="b">
        <v>0</v>
      </c>
      <c r="D28" s="16" t="b">
        <v>0</v>
      </c>
      <c r="E28" s="16" t="b">
        <v>0</v>
      </c>
      <c r="F28" s="16" t="b">
        <v>0</v>
      </c>
      <c r="G28" s="16" t="b">
        <v>1</v>
      </c>
      <c r="H28" s="17">
        <f t="shared" si="2"/>
        <v>5</v>
      </c>
    </row>
    <row r="29" spans="1:8" ht="47.25" customHeight="1" x14ac:dyDescent="0.25">
      <c r="A29" s="13" t="s">
        <v>77</v>
      </c>
      <c r="B29" s="15" t="s">
        <v>78</v>
      </c>
      <c r="C29" s="16" t="b">
        <v>0</v>
      </c>
      <c r="D29" s="16" t="b">
        <v>0</v>
      </c>
      <c r="E29" s="16" t="b">
        <v>0</v>
      </c>
      <c r="F29" s="16" t="b">
        <v>1</v>
      </c>
      <c r="G29" s="16" t="b">
        <v>0</v>
      </c>
      <c r="H29" s="17">
        <f t="shared" si="2"/>
        <v>4</v>
      </c>
    </row>
    <row r="30" spans="1:8" ht="31.5" customHeight="1" x14ac:dyDescent="0.25">
      <c r="A30" s="13" t="s">
        <v>79</v>
      </c>
      <c r="B30" s="18" t="s">
        <v>80</v>
      </c>
      <c r="C30" s="16" t="b">
        <v>0</v>
      </c>
      <c r="D30" s="16" t="b">
        <v>0</v>
      </c>
      <c r="E30" s="16" t="b">
        <v>0</v>
      </c>
      <c r="F30" s="16" t="b">
        <v>0</v>
      </c>
      <c r="G30" s="16" t="b">
        <v>1</v>
      </c>
      <c r="H30" s="17">
        <f t="shared" si="2"/>
        <v>5</v>
      </c>
    </row>
    <row r="31" spans="1:8" ht="31.5" customHeight="1" x14ac:dyDescent="0.25">
      <c r="A31" s="13" t="s">
        <v>81</v>
      </c>
      <c r="B31" s="18" t="s">
        <v>82</v>
      </c>
      <c r="C31" s="16" t="b">
        <v>0</v>
      </c>
      <c r="D31" s="16" t="b">
        <v>0</v>
      </c>
      <c r="E31" s="16" t="b">
        <v>0</v>
      </c>
      <c r="F31" s="16" t="b">
        <v>1</v>
      </c>
      <c r="G31" s="16" t="b">
        <v>0</v>
      </c>
      <c r="H31" s="17">
        <f t="shared" si="2"/>
        <v>4</v>
      </c>
    </row>
    <row r="32" spans="1:8" ht="48" customHeight="1" thickBot="1" x14ac:dyDescent="0.3">
      <c r="A32" s="13" t="s">
        <v>83</v>
      </c>
      <c r="B32" s="18" t="s">
        <v>84</v>
      </c>
      <c r="C32" s="16" t="b">
        <v>0</v>
      </c>
      <c r="D32" s="16" t="b">
        <v>0</v>
      </c>
      <c r="E32" s="16" t="b">
        <v>1</v>
      </c>
      <c r="F32" s="16" t="b">
        <v>0</v>
      </c>
      <c r="G32" s="16" t="b">
        <v>0</v>
      </c>
      <c r="H32" s="17">
        <f t="shared" si="2"/>
        <v>3</v>
      </c>
    </row>
  </sheetData>
  <pageMargins left="0.7" right="0.7" top="0.75" bottom="0.75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73"/>
  <sheetViews>
    <sheetView workbookViewId="0"/>
  </sheetViews>
  <sheetFormatPr defaultColWidth="11.25" defaultRowHeight="15" customHeight="1" x14ac:dyDescent="0.25"/>
  <cols>
    <col min="1" max="1" width="12" customWidth="1"/>
    <col min="2" max="2" width="80" customWidth="1"/>
    <col min="3" max="3" width="10" customWidth="1"/>
    <col min="4" max="26" width="8.625" customWidth="1"/>
  </cols>
  <sheetData>
    <row r="1" spans="1:3" ht="20.25" customHeight="1" x14ac:dyDescent="0.25">
      <c r="A1" s="23"/>
      <c r="B1" s="23" t="s">
        <v>19</v>
      </c>
      <c r="C1" s="23" t="s">
        <v>25</v>
      </c>
    </row>
    <row r="2" spans="1:3" ht="31.5" customHeight="1" x14ac:dyDescent="0.25">
      <c r="A2" s="24" t="s">
        <v>26</v>
      </c>
      <c r="B2" s="25" t="s">
        <v>27</v>
      </c>
      <c r="C2" s="26">
        <f>AVERAGE(Quest.Utente1!H2,Quest.Utente2!H2,Quest.Utente3!H2,Quest.Utente4!H2,Quest.Utente5!H2,Quest.Utente6!H2,Quest.Utente7!H2,Quest.Utente8!H2,Quest.Utente9!H2,Quest.Utente10!H2)</f>
        <v>4.4000000000000004</v>
      </c>
    </row>
    <row r="3" spans="1:3" ht="31.5" customHeight="1" x14ac:dyDescent="0.25">
      <c r="A3" s="24" t="s">
        <v>28</v>
      </c>
      <c r="B3" s="25" t="s">
        <v>29</v>
      </c>
      <c r="C3" s="26">
        <f>AVERAGE(Quest.Utente1!H3,Quest.Utente2!H3,Quest.Utente3!H3,Quest.Utente4!H3,Quest.Utente5!H3,Quest.Utente6!H3,Quest.Utente7!H3,Quest.Utente8!H3,Quest.Utente9!H3,Quest.Utente10!H3)</f>
        <v>4.3</v>
      </c>
    </row>
    <row r="4" spans="1:3" ht="20.25" customHeight="1" x14ac:dyDescent="0.25">
      <c r="A4" s="24" t="s">
        <v>30</v>
      </c>
      <c r="B4" s="25" t="s">
        <v>31</v>
      </c>
      <c r="C4" s="26">
        <f>AVERAGE(Quest.Utente1!H4,Quest.Utente2!H4,Quest.Utente3!H4,Quest.Utente4!H4,Quest.Utente5!H4,Quest.Utente6!H4,Quest.Utente7!H4,Quest.Utente8!H4,Quest.Utente9!H4,Quest.Utente10!H4)</f>
        <v>4</v>
      </c>
    </row>
    <row r="5" spans="1:3" ht="31.5" customHeight="1" x14ac:dyDescent="0.25">
      <c r="A5" s="24" t="s">
        <v>32</v>
      </c>
      <c r="B5" s="25" t="s">
        <v>33</v>
      </c>
      <c r="C5" s="26">
        <f>AVERAGE(Quest.Utente1!H5,Quest.Utente2!H5,Quest.Utente3!H5,Quest.Utente4!H5,Quest.Utente5!H5,Quest.Utente6!H5,Quest.Utente7!H5,Quest.Utente8!H5,Quest.Utente9!H5,Quest.Utente10!H5)</f>
        <v>4</v>
      </c>
    </row>
    <row r="6" spans="1:3" ht="31.5" customHeight="1" x14ac:dyDescent="0.25">
      <c r="A6" s="24" t="s">
        <v>34</v>
      </c>
      <c r="B6" s="25" t="s">
        <v>35</v>
      </c>
      <c r="C6" s="26">
        <f>AVERAGE(Quest.Utente1!H6,Quest.Utente2!H6,Quest.Utente3!H6,Quest.Utente4!H6,Quest.Utente5!H6,Quest.Utente6!H6,Quest.Utente7!H6,Quest.Utente8!H6,Quest.Utente9!H6,Quest.Utente10!H6)</f>
        <v>4.2</v>
      </c>
    </row>
    <row r="7" spans="1:3" ht="20.25" customHeight="1" x14ac:dyDescent="0.25">
      <c r="A7" s="24" t="s">
        <v>36</v>
      </c>
      <c r="B7" s="25" t="s">
        <v>37</v>
      </c>
      <c r="C7" s="26">
        <f>AVERAGE(Quest.Utente1!H7,Quest.Utente2!H7,Quest.Utente3!H7,Quest.Utente4!H7,Quest.Utente5!H7,Quest.Utente6!H7,Quest.Utente7!H7,Quest.Utente8!H7,Quest.Utente9!H7,Quest.Utente10!H7)</f>
        <v>4</v>
      </c>
    </row>
    <row r="8" spans="1:3" ht="31.5" customHeight="1" x14ac:dyDescent="0.25">
      <c r="A8" s="24" t="s">
        <v>38</v>
      </c>
      <c r="B8" s="25" t="s">
        <v>39</v>
      </c>
      <c r="C8" s="26">
        <f>AVERAGE(Quest.Utente1!H8,Quest.Utente2!H8,Quest.Utente3!H8,Quest.Utente4!H8,Quest.Utente5!H8,Quest.Utente6!H8,Quest.Utente7!H8,Quest.Utente8!H8,Quest.Utente9!H8,Quest.Utente10!H8)</f>
        <v>3.9</v>
      </c>
    </row>
    <row r="9" spans="1:3" ht="31.5" customHeight="1" x14ac:dyDescent="0.25">
      <c r="A9" s="24" t="s">
        <v>40</v>
      </c>
      <c r="B9" s="25" t="s">
        <v>41</v>
      </c>
      <c r="C9" s="26">
        <f>AVERAGE(Quest.Utente1!H9,Quest.Utente2!H9,Quest.Utente3!H9,Quest.Utente4!H9,Quest.Utente5!H9,Quest.Utente6!H9,Quest.Utente7!H9,Quest.Utente8!H9,Quest.Utente9!H9,Quest.Utente10!H9)</f>
        <v>3.9</v>
      </c>
    </row>
    <row r="10" spans="1:3" ht="20.25" customHeight="1" x14ac:dyDescent="0.25">
      <c r="C10" s="26">
        <f>AVERAGE(C2:C9)</f>
        <v>4.0874999999999995</v>
      </c>
    </row>
    <row r="11" spans="1:3" ht="31.5" customHeight="1" x14ac:dyDescent="0.25"/>
    <row r="12" spans="1:3" ht="31.5" customHeight="1" x14ac:dyDescent="0.25">
      <c r="B12" s="25" t="s">
        <v>42</v>
      </c>
    </row>
    <row r="13" spans="1:3" ht="20.25" customHeight="1" x14ac:dyDescent="0.25">
      <c r="A13" s="24" t="s">
        <v>43</v>
      </c>
      <c r="B13" s="25" t="s">
        <v>44</v>
      </c>
      <c r="C13" s="26">
        <f>AVERAGE(Quest.Utente1!H11,Quest.Utente2!H11,Quest.Utente3!H11,Quest.Utente4!H11,Quest.Utente5!H11,Quest.Utente6!H11,Quest.Utente7!H11,Quest.Utente8!H11,Quest.Utente9!H11,Quest.Utente10!H11)</f>
        <v>4.2</v>
      </c>
    </row>
    <row r="14" spans="1:3" ht="31.5" customHeight="1" x14ac:dyDescent="0.25">
      <c r="A14" s="24" t="s">
        <v>45</v>
      </c>
      <c r="B14" s="25" t="s">
        <v>46</v>
      </c>
      <c r="C14" s="26">
        <f>AVERAGE(Quest.Utente1!H12,Quest.Utente2!H12,Quest.Utente3!H12,Quest.Utente4!H12,Quest.Utente5!H12,Quest.Utente6!H12,Quest.Utente7!H12,Quest.Utente8!H12,Quest.Utente9!H12,Quest.Utente10!H12)</f>
        <v>4.2</v>
      </c>
    </row>
    <row r="15" spans="1:3" ht="31.5" customHeight="1" x14ac:dyDescent="0.25">
      <c r="A15" s="24" t="s">
        <v>47</v>
      </c>
      <c r="B15" s="25" t="s">
        <v>48</v>
      </c>
      <c r="C15" s="26">
        <f>AVERAGE(Quest.Utente1!H13,Quest.Utente2!H13,Quest.Utente3!H13,Quest.Utente4!H13,Quest.Utente5!H13,Quest.Utente6!H13,Quest.Utente7!H13,Quest.Utente8!H13,Quest.Utente9!H13,Quest.Utente10!H13)</f>
        <v>3.9</v>
      </c>
    </row>
    <row r="16" spans="1:3" ht="20.25" customHeight="1" x14ac:dyDescent="0.25">
      <c r="A16" s="24" t="s">
        <v>49</v>
      </c>
      <c r="B16" s="25" t="s">
        <v>50</v>
      </c>
      <c r="C16" s="26">
        <f>AVERAGE(Quest.Utente1!H14,Quest.Utente2!H14,Quest.Utente3!H14,Quest.Utente4!H14,Quest.Utente5!H14,Quest.Utente6!H14,Quest.Utente7!H14,Quest.Utente8!H14,Quest.Utente9!H14,Quest.Utente10!H14)</f>
        <v>3.9</v>
      </c>
    </row>
    <row r="17" spans="1:3" ht="31.5" customHeight="1" x14ac:dyDescent="0.25">
      <c r="A17" s="24" t="s">
        <v>51</v>
      </c>
      <c r="B17" s="25" t="s">
        <v>52</v>
      </c>
      <c r="C17" s="26">
        <f>AVERAGE(Quest.Utente1!H15,Quest.Utente2!H15,Quest.Utente3!H15,Quest.Utente4!H15,Quest.Utente5!H15,Quest.Utente6!H15,Quest.Utente7!H15,Quest.Utente8!H15,Quest.Utente9!H15,Quest.Utente10!H15)</f>
        <v>3.9</v>
      </c>
    </row>
    <row r="18" spans="1:3" ht="31.5" customHeight="1" x14ac:dyDescent="0.25">
      <c r="A18" s="24" t="s">
        <v>53</v>
      </c>
      <c r="B18" s="25" t="s">
        <v>54</v>
      </c>
      <c r="C18" s="26">
        <f>AVERAGE(Quest.Utente1!H16,Quest.Utente2!H16,Quest.Utente3!H16,Quest.Utente4!H16,Quest.Utente5!H16,Quest.Utente6!H16,Quest.Utente7!H16,Quest.Utente8!H16,Quest.Utente9!H16,Quest.Utente10!H16)</f>
        <v>3.9</v>
      </c>
    </row>
    <row r="19" spans="1:3" ht="20.25" customHeight="1" x14ac:dyDescent="0.25">
      <c r="A19" s="24" t="s">
        <v>55</v>
      </c>
      <c r="B19" s="25" t="s">
        <v>56</v>
      </c>
      <c r="C19" s="26">
        <f>AVERAGE(Quest.Utente1!H17,Quest.Utente2!H17,Quest.Utente3!H17,Quest.Utente4!H17,Quest.Utente5!H17,Quest.Utente6!H17,Quest.Utente7!H17,Quest.Utente8!H17,Quest.Utente9!H17,Quest.Utente10!H17)</f>
        <v>3.7</v>
      </c>
    </row>
    <row r="20" spans="1:3" ht="20.25" customHeight="1" x14ac:dyDescent="0.25">
      <c r="A20" s="24" t="s">
        <v>57</v>
      </c>
      <c r="B20" s="25" t="s">
        <v>58</v>
      </c>
      <c r="C20" s="26">
        <f>AVERAGE(Quest.Utente1!H18,Quest.Utente2!H18,Quest.Utente3!H18,Quest.Utente4!H18,Quest.Utente5!H18,Quest.Utente6!H18,Quest.Utente7!H18,Quest.Utente8!H18,Quest.Utente9!H18,Quest.Utente10!H18)</f>
        <v>3.8</v>
      </c>
    </row>
    <row r="21" spans="1:3" ht="31.5" customHeight="1" x14ac:dyDescent="0.25">
      <c r="C21" s="26">
        <f>AVERAGE(C13:C20)</f>
        <v>3.9374999999999996</v>
      </c>
    </row>
    <row r="22" spans="1:3" ht="31.5" customHeight="1" x14ac:dyDescent="0.25"/>
    <row r="23" spans="1:3" ht="20.25" customHeight="1" x14ac:dyDescent="0.25">
      <c r="B23" s="25" t="s">
        <v>59</v>
      </c>
    </row>
    <row r="24" spans="1:3" ht="47.25" customHeight="1" x14ac:dyDescent="0.25">
      <c r="A24" s="24" t="s">
        <v>60</v>
      </c>
      <c r="B24" s="25" t="s">
        <v>61</v>
      </c>
      <c r="C24" s="26">
        <f>AVERAGE(Quest.Utente1!H20,Quest.Utente2!H20,Quest.Utente3!H20,Quest.Utente4!H20,Quest.Utente5!H20,Quest.Utente6!H20,Quest.Utente7!H20,Quest.Utente8!H20,Quest.Utente9!H20,Quest.Utente10!H20)</f>
        <v>3.7</v>
      </c>
    </row>
    <row r="25" spans="1:3" ht="31.5" customHeight="1" x14ac:dyDescent="0.25">
      <c r="A25" s="24" t="s">
        <v>62</v>
      </c>
      <c r="B25" s="25" t="s">
        <v>63</v>
      </c>
      <c r="C25" s="26">
        <f>AVERAGE(Quest.Utente1!H21,Quest.Utente2!H21,Quest.Utente3!H21,Quest.Utente4!H21,Quest.Utente5!H21,Quest.Utente6!H21,Quest.Utente7!H21,Quest.Utente8!H21,Quest.Utente9!H21,Quest.Utente10!H21)</f>
        <v>3.6</v>
      </c>
    </row>
    <row r="26" spans="1:3" ht="20.25" customHeight="1" x14ac:dyDescent="0.25">
      <c r="A26" s="24" t="s">
        <v>64</v>
      </c>
      <c r="B26" s="25" t="s">
        <v>65</v>
      </c>
      <c r="C26" s="26">
        <f>AVERAGE(Quest.Utente1!H22,Quest.Utente2!H22,Quest.Utente3!H22,Quest.Utente4!H22,Quest.Utente5!H22,Quest.Utente6!H22,Quest.Utente7!H22,Quest.Utente8!H22,Quest.Utente9!H22,Quest.Utente10!H22)</f>
        <v>4</v>
      </c>
    </row>
    <row r="27" spans="1:3" ht="31.5" customHeight="1" x14ac:dyDescent="0.25">
      <c r="A27" s="24" t="s">
        <v>66</v>
      </c>
      <c r="B27" s="25" t="s">
        <v>67</v>
      </c>
      <c r="C27" s="26">
        <f>AVERAGE(Quest.Utente1!H23,Quest.Utente2!H23,Quest.Utente3!H23,Quest.Utente4!H23,Quest.Utente5!H23,Quest.Utente6!H23,Quest.Utente7!H23,Quest.Utente8!H23,Quest.Utente9!H23,Quest.Utente10!H23)</f>
        <v>3.5</v>
      </c>
    </row>
    <row r="28" spans="1:3" ht="31.5" customHeight="1" x14ac:dyDescent="0.25">
      <c r="C28" s="26">
        <f>AVERAGE(C24:C27)</f>
        <v>3.7</v>
      </c>
    </row>
    <row r="29" spans="1:3" ht="20.25" customHeight="1" x14ac:dyDescent="0.25"/>
    <row r="30" spans="1:3" ht="31.5" customHeight="1" x14ac:dyDescent="0.25">
      <c r="B30" s="25" t="s">
        <v>68</v>
      </c>
    </row>
    <row r="31" spans="1:3" ht="31.5" customHeight="1" x14ac:dyDescent="0.25">
      <c r="A31" s="24" t="s">
        <v>69</v>
      </c>
      <c r="B31" s="25" t="s">
        <v>70</v>
      </c>
      <c r="C31" s="26">
        <f>AVERAGE(Quest.Utente1!H25,Quest.Utente2!H25,Quest.Utente3!H25,Quest.Utente4!H25,Quest.Utente5!H25,Quest.Utente6!H25,Quest.Utente7!H25,Quest.Utente8!H25,Quest.Utente9!H25,Quest.Utente10!H25)</f>
        <v>4.2</v>
      </c>
    </row>
    <row r="32" spans="1:3" ht="20.25" customHeight="1" x14ac:dyDescent="0.25">
      <c r="A32" s="24" t="s">
        <v>71</v>
      </c>
      <c r="B32" s="25" t="s">
        <v>72</v>
      </c>
      <c r="C32" s="26">
        <f>AVERAGE(Quest.Utente1!H26,Quest.Utente2!H26,Quest.Utente3!H26,Quest.Utente4!H26,Quest.Utente5!H26,Quest.Utente6!H26,Quest.Utente7!H26,Quest.Utente8!H26,Quest.Utente9!H26,Quest.Utente10!H26)</f>
        <v>4.2</v>
      </c>
    </row>
    <row r="33" spans="1:3" ht="31.5" customHeight="1" x14ac:dyDescent="0.25">
      <c r="A33" s="24" t="s">
        <v>73</v>
      </c>
      <c r="B33" s="25" t="s">
        <v>74</v>
      </c>
      <c r="C33" s="26">
        <f>AVERAGE(Quest.Utente1!H27,Quest.Utente2!H27,Quest.Utente3!H27,Quest.Utente4!H27,Quest.Utente5!H27,Quest.Utente6!H27,Quest.Utente7!H27,Quest.Utente8!H27,Quest.Utente9!H27,Quest.Utente10!H27)</f>
        <v>4</v>
      </c>
    </row>
    <row r="34" spans="1:3" ht="31.5" customHeight="1" x14ac:dyDescent="0.25">
      <c r="A34" s="24" t="s">
        <v>75</v>
      </c>
      <c r="B34" s="25" t="s">
        <v>76</v>
      </c>
      <c r="C34" s="26">
        <f>AVERAGE(Quest.Utente1!H28,Quest.Utente2!H28,Quest.Utente3!H28,Quest.Utente4!H28,Quest.Utente5!H28,Quest.Utente6!H28,Quest.Utente7!H28,Quest.Utente8!H28,Quest.Utente9!H28,Quest.Utente10!H28)</f>
        <v>4.0999999999999996</v>
      </c>
    </row>
    <row r="35" spans="1:3" ht="20.25" customHeight="1" x14ac:dyDescent="0.25">
      <c r="A35" s="24" t="s">
        <v>77</v>
      </c>
      <c r="B35" s="25" t="s">
        <v>78</v>
      </c>
      <c r="C35" s="26">
        <f>AVERAGE(Quest.Utente1!H29,Quest.Utente2!H29,Quest.Utente3!H29,Quest.Utente4!H29,Quest.Utente5!H29,Quest.Utente6!H29,Quest.Utente7!H29,Quest.Utente8!H29,Quest.Utente9!H29,Quest.Utente10!H29)</f>
        <v>4.2</v>
      </c>
    </row>
    <row r="36" spans="1:3" ht="31.5" customHeight="1" x14ac:dyDescent="0.25">
      <c r="A36" s="24" t="s">
        <v>79</v>
      </c>
      <c r="B36" s="25" t="s">
        <v>80</v>
      </c>
      <c r="C36" s="26">
        <f>AVERAGE(Quest.Utente1!H30,Quest.Utente2!H30,Quest.Utente3!H30,Quest.Utente4!H30,Quest.Utente5!H30,Quest.Utente6!H30,Quest.Utente7!H30,Quest.Utente8!H30,Quest.Utente9!H30,Quest.Utente10!H30)</f>
        <v>4</v>
      </c>
    </row>
    <row r="37" spans="1:3" ht="31.5" customHeight="1" x14ac:dyDescent="0.25">
      <c r="A37" s="24" t="s">
        <v>81</v>
      </c>
      <c r="B37" s="25" t="s">
        <v>82</v>
      </c>
      <c r="C37" s="26">
        <f>AVERAGE(Quest.Utente1!H31,Quest.Utente2!H31,Quest.Utente3!H31,Quest.Utente4!H31,Quest.Utente5!H31,Quest.Utente6!H31,Quest.Utente7!H31,Quest.Utente8!H31,Quest.Utente9!H31,Quest.Utente10!H31)</f>
        <v>3.8</v>
      </c>
    </row>
    <row r="38" spans="1:3" ht="20.25" customHeight="1" x14ac:dyDescent="0.25">
      <c r="A38" s="24" t="s">
        <v>83</v>
      </c>
      <c r="B38" s="25" t="s">
        <v>84</v>
      </c>
      <c r="C38" s="26">
        <f>AVERAGE(Quest.Utente1!H32,Quest.Utente2!H32,Quest.Utente3!H32,Quest.Utente4!H32,Quest.Utente5!H32,Quest.Utente6!H32,Quest.Utente7!H32,Quest.Utente8!H32,Quest.Utente9!H32,Quest.Utente10!H32)</f>
        <v>3.9</v>
      </c>
    </row>
    <row r="39" spans="1:3" ht="31.5" customHeight="1" x14ac:dyDescent="0.25">
      <c r="C39" s="26">
        <f>AVERAGE(C31:C38)</f>
        <v>4.05</v>
      </c>
    </row>
    <row r="40" spans="1:3" ht="31.5" customHeight="1" x14ac:dyDescent="0.25"/>
    <row r="41" spans="1:3" ht="20.25" customHeight="1" x14ac:dyDescent="0.25"/>
    <row r="42" spans="1:3" ht="20.25" customHeight="1" x14ac:dyDescent="0.25"/>
    <row r="43" spans="1:3" ht="31.5" customHeight="1" x14ac:dyDescent="0.25"/>
    <row r="44" spans="1:3" ht="31.5" customHeight="1" x14ac:dyDescent="0.25"/>
    <row r="45" spans="1:3" ht="20.25" customHeight="1" x14ac:dyDescent="0.25"/>
    <row r="46" spans="1:3" ht="47.25" customHeight="1" x14ac:dyDescent="0.25"/>
    <row r="47" spans="1:3" ht="31.5" customHeight="1" x14ac:dyDescent="0.25"/>
    <row r="48" spans="1:3" ht="20.25" customHeight="1" x14ac:dyDescent="0.25"/>
    <row r="49" ht="31.5" customHeight="1" x14ac:dyDescent="0.25"/>
    <row r="50" ht="31.5" customHeight="1" x14ac:dyDescent="0.25"/>
    <row r="51" ht="20.25" customHeight="1" x14ac:dyDescent="0.25"/>
    <row r="52" ht="20.25" customHeight="1" x14ac:dyDescent="0.25"/>
    <row r="53" ht="31.5" customHeight="1" x14ac:dyDescent="0.25"/>
    <row r="54" ht="31.5" customHeight="1" x14ac:dyDescent="0.25"/>
    <row r="55" ht="27.75" customHeight="1" x14ac:dyDescent="0.25"/>
    <row r="56" ht="36.75" customHeight="1" x14ac:dyDescent="0.25"/>
    <row r="57" ht="31.5" customHeight="1" x14ac:dyDescent="0.25"/>
    <row r="58" ht="20.25" customHeight="1" x14ac:dyDescent="0.25"/>
    <row r="59" ht="31.5" customHeight="1" x14ac:dyDescent="0.25"/>
    <row r="60" ht="31.5" customHeight="1" x14ac:dyDescent="0.25"/>
    <row r="61" ht="20.25" customHeight="1" x14ac:dyDescent="0.25"/>
    <row r="62" ht="31.5" customHeight="1" x14ac:dyDescent="0.25"/>
    <row r="63" ht="31.5" customHeight="1" x14ac:dyDescent="0.25"/>
    <row r="64" ht="20.25" customHeight="1" x14ac:dyDescent="0.25"/>
    <row r="65" ht="31.5" customHeight="1" x14ac:dyDescent="0.25"/>
    <row r="66" ht="31.5" customHeight="1" x14ac:dyDescent="0.25"/>
    <row r="67" ht="20.25" customHeight="1" x14ac:dyDescent="0.25"/>
    <row r="68" ht="31.5" customHeight="1" x14ac:dyDescent="0.25"/>
    <row r="69" ht="31.5" customHeight="1" x14ac:dyDescent="0.25"/>
    <row r="70" ht="20.25" customHeight="1" x14ac:dyDescent="0.25"/>
    <row r="71" ht="31.5" customHeight="1" x14ac:dyDescent="0.25"/>
    <row r="72" ht="31.5" customHeight="1" x14ac:dyDescent="0.25"/>
    <row r="73" ht="20.25" customHeight="1" x14ac:dyDescent="0.25"/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20"/>
  <sheetViews>
    <sheetView tabSelected="1" workbookViewId="0">
      <selection activeCell="D14" sqref="D14"/>
    </sheetView>
  </sheetViews>
  <sheetFormatPr defaultColWidth="11.25" defaultRowHeight="15" customHeight="1" x14ac:dyDescent="0.25"/>
  <cols>
    <col min="1" max="1" width="35" customWidth="1"/>
    <col min="2" max="5" width="10" customWidth="1"/>
    <col min="6" max="26" width="35" customWidth="1"/>
  </cols>
  <sheetData>
    <row r="1" spans="1:5" x14ac:dyDescent="0.25">
      <c r="A1" s="23" t="s">
        <v>85</v>
      </c>
      <c r="B1" s="23" t="s">
        <v>86</v>
      </c>
      <c r="C1" s="23" t="s">
        <v>87</v>
      </c>
      <c r="D1" s="23" t="s">
        <v>88</v>
      </c>
      <c r="E1" s="23" t="s">
        <v>89</v>
      </c>
    </row>
    <row r="2" spans="1:5" x14ac:dyDescent="0.25">
      <c r="A2" s="25" t="s">
        <v>3</v>
      </c>
      <c r="B2" s="27">
        <f>MEDIE!C2</f>
        <v>4.4000000000000004</v>
      </c>
      <c r="C2" s="27">
        <f>MEDIE!C13</f>
        <v>4.2</v>
      </c>
      <c r="D2" s="27">
        <v>0</v>
      </c>
      <c r="E2" s="27">
        <f>MEDIE!C31</f>
        <v>4.2</v>
      </c>
    </row>
    <row r="3" spans="1:5" x14ac:dyDescent="0.25">
      <c r="A3" s="25" t="s">
        <v>6</v>
      </c>
      <c r="B3" s="27">
        <f>MEDIE!C3</f>
        <v>4.3</v>
      </c>
      <c r="C3" s="27">
        <f>MEDIE!C14</f>
        <v>4.2</v>
      </c>
      <c r="D3" s="27">
        <v>0</v>
      </c>
      <c r="E3" s="27">
        <f>MEDIE!C32</f>
        <v>4.2</v>
      </c>
    </row>
    <row r="4" spans="1:5" x14ac:dyDescent="0.25">
      <c r="A4" s="25" t="s">
        <v>8</v>
      </c>
      <c r="B4" s="27">
        <f>MEDIE!C4</f>
        <v>4</v>
      </c>
      <c r="C4" s="27">
        <f>MEDIE!C15</f>
        <v>3.9</v>
      </c>
      <c r="D4" s="27">
        <f>MEDIE!C24</f>
        <v>3.7</v>
      </c>
      <c r="E4" s="27">
        <f>MEDIE!C33</f>
        <v>4</v>
      </c>
    </row>
    <row r="5" spans="1:5" x14ac:dyDescent="0.25">
      <c r="A5" s="25" t="s">
        <v>10</v>
      </c>
      <c r="B5" s="27">
        <f>MEDIE!C5</f>
        <v>4</v>
      </c>
      <c r="C5" s="27">
        <f>MEDIE!C16</f>
        <v>3.9</v>
      </c>
      <c r="D5" s="28">
        <f>MEDIE!C25</f>
        <v>3.6</v>
      </c>
      <c r="E5" s="27">
        <f>MEDIE!C34</f>
        <v>4.0999999999999996</v>
      </c>
    </row>
    <row r="6" spans="1:5" x14ac:dyDescent="0.25">
      <c r="A6" s="25" t="s">
        <v>11</v>
      </c>
      <c r="B6" s="27">
        <f>MEDIE!C6</f>
        <v>4.2</v>
      </c>
      <c r="C6" s="27">
        <f>MEDIE!C17</f>
        <v>3.9</v>
      </c>
      <c r="D6" s="27">
        <v>0</v>
      </c>
      <c r="E6" s="27">
        <f>MEDIE!C35</f>
        <v>4.2</v>
      </c>
    </row>
    <row r="7" spans="1:5" x14ac:dyDescent="0.25">
      <c r="A7" s="25" t="s">
        <v>12</v>
      </c>
      <c r="B7" s="27">
        <f>MEDIE!C7</f>
        <v>4</v>
      </c>
      <c r="C7" s="27">
        <f>MEDIE!C18</f>
        <v>3.9</v>
      </c>
      <c r="D7" s="27">
        <v>0</v>
      </c>
      <c r="E7" s="27">
        <f>MEDIE!C36</f>
        <v>4</v>
      </c>
    </row>
    <row r="8" spans="1:5" x14ac:dyDescent="0.25">
      <c r="A8" s="25" t="s">
        <v>13</v>
      </c>
      <c r="B8" s="27">
        <f>MEDIE!C8</f>
        <v>3.9</v>
      </c>
      <c r="C8" s="27">
        <f>MEDIE!C19</f>
        <v>3.7</v>
      </c>
      <c r="D8" s="27">
        <f>MEDIE!C26</f>
        <v>4</v>
      </c>
      <c r="E8" s="27">
        <f>MEDIE!C37</f>
        <v>3.8</v>
      </c>
    </row>
    <row r="9" spans="1:5" x14ac:dyDescent="0.25">
      <c r="A9" s="25" t="s">
        <v>14</v>
      </c>
      <c r="B9" s="27">
        <f>MEDIE!C9</f>
        <v>3.9</v>
      </c>
      <c r="C9" s="27">
        <f>MEDIE!C20</f>
        <v>3.8</v>
      </c>
      <c r="D9" s="29">
        <f>MEDIE!C27</f>
        <v>3.5</v>
      </c>
      <c r="E9" s="27">
        <f>MEDIE!C38</f>
        <v>3.9</v>
      </c>
    </row>
    <row r="10" spans="1:5" x14ac:dyDescent="0.25"/>
    <row r="11" spans="1:5" x14ac:dyDescent="0.25">
      <c r="A11" s="30" t="s">
        <v>90</v>
      </c>
    </row>
    <row r="12" spans="1:5" x14ac:dyDescent="0.25">
      <c r="A12" t="s">
        <v>91</v>
      </c>
      <c r="B12" s="31" t="s">
        <v>92</v>
      </c>
    </row>
    <row r="13" spans="1:5" x14ac:dyDescent="0.25">
      <c r="A13" t="s">
        <v>93</v>
      </c>
      <c r="B13" s="32" t="s">
        <v>94</v>
      </c>
    </row>
    <row r="14" spans="1:5" x14ac:dyDescent="0.25"/>
    <row r="15" spans="1:5" x14ac:dyDescent="0.25"/>
    <row r="16" spans="1:5" x14ac:dyDescent="0.25"/>
    <row r="17" x14ac:dyDescent="0.25"/>
    <row r="18" x14ac:dyDescent="0.25"/>
    <row r="19" x14ac:dyDescent="0.25"/>
    <row r="20" x14ac:dyDescent="0.25"/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32"/>
  <sheetViews>
    <sheetView workbookViewId="0"/>
  </sheetViews>
  <sheetFormatPr defaultRowHeight="15.75" x14ac:dyDescent="0.25"/>
  <cols>
    <col min="1" max="1" width="18.625" customWidth="1"/>
    <col min="2" max="2" width="54.5" customWidth="1"/>
    <col min="3" max="3" width="8.625" customWidth="1"/>
    <col min="4" max="4" width="10.25" customWidth="1"/>
    <col min="5" max="5" width="8.625" customWidth="1"/>
    <col min="7" max="7" width="8.125" customWidth="1"/>
    <col min="8" max="8" width="14.625" customWidth="1"/>
    <col min="9" max="9" width="8.625" customWidth="1"/>
  </cols>
  <sheetData>
    <row r="1" spans="1:8" ht="40.5" x14ac:dyDescent="0.25">
      <c r="B1" s="13" t="s">
        <v>19</v>
      </c>
      <c r="C1" s="13" t="s">
        <v>20</v>
      </c>
      <c r="D1" s="13" t="s">
        <v>21</v>
      </c>
      <c r="E1" s="13" t="s">
        <v>22</v>
      </c>
      <c r="F1" s="13" t="s">
        <v>23</v>
      </c>
      <c r="G1" s="13" t="s">
        <v>24</v>
      </c>
      <c r="H1" s="14" t="s">
        <v>25</v>
      </c>
    </row>
    <row r="2" spans="1:8" ht="31.5" x14ac:dyDescent="0.25">
      <c r="A2" s="13" t="s">
        <v>26</v>
      </c>
      <c r="B2" s="19" t="s">
        <v>27</v>
      </c>
      <c r="C2" s="20" t="b">
        <v>0</v>
      </c>
      <c r="D2" s="20" t="b">
        <v>0</v>
      </c>
      <c r="E2" s="20" t="b">
        <v>0</v>
      </c>
      <c r="F2" s="20" t="b">
        <v>0</v>
      </c>
      <c r="G2" s="20" t="b">
        <v>1</v>
      </c>
      <c r="H2" s="21">
        <f t="shared" ref="H2:H9" si="0">IF(C2,1,0) + IF(D2,2,0) + IF(E2,3,0) + IF(F2,4,0) + IF(G2,5,0)</f>
        <v>5</v>
      </c>
    </row>
    <row r="3" spans="1:8" ht="31.5" x14ac:dyDescent="0.25">
      <c r="A3" s="13" t="s">
        <v>28</v>
      </c>
      <c r="B3" s="22" t="s">
        <v>29</v>
      </c>
      <c r="C3" s="20" t="b">
        <v>0</v>
      </c>
      <c r="D3" s="20" t="b">
        <v>0</v>
      </c>
      <c r="E3" s="20" t="b">
        <v>0</v>
      </c>
      <c r="F3" s="20" t="b">
        <v>0</v>
      </c>
      <c r="G3" s="20" t="b">
        <v>1</v>
      </c>
      <c r="H3" s="21">
        <f t="shared" si="0"/>
        <v>5</v>
      </c>
    </row>
    <row r="4" spans="1:8" ht="31.5" x14ac:dyDescent="0.25">
      <c r="A4" s="13" t="s">
        <v>30</v>
      </c>
      <c r="B4" s="22" t="s">
        <v>31</v>
      </c>
      <c r="C4" s="20" t="b">
        <v>0</v>
      </c>
      <c r="D4" s="20" t="b">
        <v>0</v>
      </c>
      <c r="E4" s="20" t="b">
        <v>1</v>
      </c>
      <c r="F4" s="20" t="b">
        <v>0</v>
      </c>
      <c r="G4" s="20" t="b">
        <v>0</v>
      </c>
      <c r="H4" s="21">
        <f t="shared" si="0"/>
        <v>3</v>
      </c>
    </row>
    <row r="5" spans="1:8" ht="31.5" x14ac:dyDescent="0.25">
      <c r="A5" s="13" t="s">
        <v>32</v>
      </c>
      <c r="B5" s="22" t="s">
        <v>33</v>
      </c>
      <c r="C5" s="20" t="b">
        <v>0</v>
      </c>
      <c r="D5" s="20" t="b">
        <v>0</v>
      </c>
      <c r="E5" s="20" t="b">
        <v>0</v>
      </c>
      <c r="F5" s="20" t="b">
        <v>1</v>
      </c>
      <c r="G5" s="20" t="b">
        <v>0</v>
      </c>
      <c r="H5" s="21">
        <f t="shared" si="0"/>
        <v>4</v>
      </c>
    </row>
    <row r="6" spans="1:8" ht="31.5" x14ac:dyDescent="0.25">
      <c r="A6" s="13" t="s">
        <v>34</v>
      </c>
      <c r="B6" s="22" t="s">
        <v>35</v>
      </c>
      <c r="C6" s="20" t="b">
        <v>0</v>
      </c>
      <c r="D6" s="20" t="b">
        <v>0</v>
      </c>
      <c r="E6" s="20" t="b">
        <v>0</v>
      </c>
      <c r="F6" s="20" t="b">
        <v>1</v>
      </c>
      <c r="G6" s="20" t="b">
        <v>0</v>
      </c>
      <c r="H6" s="21">
        <f t="shared" si="0"/>
        <v>4</v>
      </c>
    </row>
    <row r="7" spans="1:8" ht="31.5" x14ac:dyDescent="0.25">
      <c r="A7" s="13" t="s">
        <v>36</v>
      </c>
      <c r="B7" s="22" t="s">
        <v>37</v>
      </c>
      <c r="C7" s="20" t="b">
        <v>0</v>
      </c>
      <c r="D7" s="20" t="b">
        <v>0</v>
      </c>
      <c r="E7" s="20" t="b">
        <v>1</v>
      </c>
      <c r="F7" s="20" t="b">
        <v>0</v>
      </c>
      <c r="G7" s="20" t="b">
        <v>0</v>
      </c>
      <c r="H7" s="21">
        <f t="shared" si="0"/>
        <v>3</v>
      </c>
    </row>
    <row r="8" spans="1:8" ht="31.5" x14ac:dyDescent="0.25">
      <c r="A8" s="13" t="s">
        <v>38</v>
      </c>
      <c r="B8" s="22" t="s">
        <v>39</v>
      </c>
      <c r="C8" s="20" t="b">
        <v>0</v>
      </c>
      <c r="D8" s="20" t="b">
        <v>1</v>
      </c>
      <c r="E8" s="20" t="b">
        <v>0</v>
      </c>
      <c r="F8" s="20" t="b">
        <v>0</v>
      </c>
      <c r="G8" s="20" t="b">
        <v>0</v>
      </c>
      <c r="H8" s="21">
        <f t="shared" si="0"/>
        <v>2</v>
      </c>
    </row>
    <row r="9" spans="1:8" ht="31.5" x14ac:dyDescent="0.25">
      <c r="A9" s="13" t="s">
        <v>40</v>
      </c>
      <c r="B9" s="22" t="s">
        <v>41</v>
      </c>
      <c r="C9" s="20" t="b">
        <v>0</v>
      </c>
      <c r="D9" s="20" t="b">
        <v>0</v>
      </c>
      <c r="E9" s="20" t="b">
        <v>1</v>
      </c>
      <c r="F9" s="20" t="b">
        <v>0</v>
      </c>
      <c r="G9" s="20" t="b">
        <v>0</v>
      </c>
      <c r="H9" s="21">
        <f t="shared" si="0"/>
        <v>3</v>
      </c>
    </row>
    <row r="10" spans="1:8" ht="20.25" x14ac:dyDescent="0.25">
      <c r="A10" s="13"/>
      <c r="B10" s="13" t="s">
        <v>42</v>
      </c>
      <c r="C10" s="20" t="b">
        <v>0</v>
      </c>
      <c r="D10" s="20" t="b">
        <v>0</v>
      </c>
      <c r="E10" s="20" t="b">
        <v>0</v>
      </c>
      <c r="F10" s="20" t="b">
        <v>0</v>
      </c>
      <c r="G10" s="20" t="b">
        <v>0</v>
      </c>
      <c r="H10" s="21">
        <f>IF(C10=TRUE,1,0) + IF(D10=TRUE,2,0) + IF(E10=TRUE,3,0) + IF(F10=TRUE,4,0) + IF(G10=TRUE,5,0)</f>
        <v>0</v>
      </c>
    </row>
    <row r="11" spans="1:8" ht="47.25" x14ac:dyDescent="0.25">
      <c r="A11" s="13" t="s">
        <v>43</v>
      </c>
      <c r="B11" s="22" t="s">
        <v>44</v>
      </c>
      <c r="C11" s="20" t="b">
        <v>0</v>
      </c>
      <c r="D11" s="20" t="b">
        <v>0</v>
      </c>
      <c r="E11" s="20" t="b">
        <v>0</v>
      </c>
      <c r="F11" s="20" t="b">
        <v>1</v>
      </c>
      <c r="G11" s="20" t="b">
        <v>0</v>
      </c>
      <c r="H11" s="21">
        <f t="shared" ref="H11:H18" si="1">IF(C11,1,0) + IF(D11,2,0) + IF(E11,3,0) + IF(F11,4,0) + IF(G11,5,0)</f>
        <v>4</v>
      </c>
    </row>
    <row r="12" spans="1:8" ht="31.5" x14ac:dyDescent="0.25">
      <c r="A12" s="13" t="s">
        <v>45</v>
      </c>
      <c r="B12" s="22" t="s">
        <v>46</v>
      </c>
      <c r="C12" s="20" t="b">
        <v>0</v>
      </c>
      <c r="D12" s="20" t="b">
        <v>0</v>
      </c>
      <c r="E12" s="20" t="b">
        <v>0</v>
      </c>
      <c r="F12" s="20" t="b">
        <v>1</v>
      </c>
      <c r="G12" s="20" t="b">
        <v>0</v>
      </c>
      <c r="H12" s="21">
        <f t="shared" si="1"/>
        <v>4</v>
      </c>
    </row>
    <row r="13" spans="1:8" ht="47.25" x14ac:dyDescent="0.25">
      <c r="A13" s="13" t="s">
        <v>47</v>
      </c>
      <c r="B13" s="22" t="s">
        <v>48</v>
      </c>
      <c r="C13" s="20" t="b">
        <v>0</v>
      </c>
      <c r="D13" s="20" t="b">
        <v>0</v>
      </c>
      <c r="E13" s="20" t="b">
        <v>0</v>
      </c>
      <c r="F13" s="20" t="b">
        <v>0</v>
      </c>
      <c r="G13" s="20" t="b">
        <v>1</v>
      </c>
      <c r="H13" s="21">
        <f t="shared" si="1"/>
        <v>5</v>
      </c>
    </row>
    <row r="14" spans="1:8" ht="31.5" x14ac:dyDescent="0.25">
      <c r="A14" s="13" t="s">
        <v>49</v>
      </c>
      <c r="B14" s="22" t="s">
        <v>50</v>
      </c>
      <c r="C14" s="20" t="b">
        <v>0</v>
      </c>
      <c r="D14" s="20" t="b">
        <v>0</v>
      </c>
      <c r="E14" s="20" t="b">
        <v>0</v>
      </c>
      <c r="F14" s="20" t="b">
        <v>1</v>
      </c>
      <c r="G14" s="20" t="b">
        <v>0</v>
      </c>
      <c r="H14" s="21">
        <f t="shared" si="1"/>
        <v>4</v>
      </c>
    </row>
    <row r="15" spans="1:8" ht="31.5" x14ac:dyDescent="0.25">
      <c r="A15" s="13" t="s">
        <v>51</v>
      </c>
      <c r="B15" s="22" t="s">
        <v>52</v>
      </c>
      <c r="C15" s="20" t="b">
        <v>0</v>
      </c>
      <c r="D15" s="20" t="b">
        <v>0</v>
      </c>
      <c r="E15" s="20" t="b">
        <v>0</v>
      </c>
      <c r="F15" s="20" t="b">
        <v>1</v>
      </c>
      <c r="G15" s="20" t="b">
        <v>0</v>
      </c>
      <c r="H15" s="21">
        <f t="shared" si="1"/>
        <v>4</v>
      </c>
    </row>
    <row r="16" spans="1:8" ht="31.5" x14ac:dyDescent="0.25">
      <c r="A16" s="13" t="s">
        <v>53</v>
      </c>
      <c r="B16" s="22" t="s">
        <v>54</v>
      </c>
      <c r="C16" s="20" t="b">
        <v>0</v>
      </c>
      <c r="D16" s="20" t="b">
        <v>0</v>
      </c>
      <c r="E16" s="20" t="b">
        <v>0</v>
      </c>
      <c r="F16" s="20" t="b">
        <v>1</v>
      </c>
      <c r="G16" s="20" t="b">
        <v>0</v>
      </c>
      <c r="H16" s="21">
        <f t="shared" si="1"/>
        <v>4</v>
      </c>
    </row>
    <row r="17" spans="1:8" ht="31.5" x14ac:dyDescent="0.25">
      <c r="A17" s="13" t="s">
        <v>55</v>
      </c>
      <c r="B17" s="22" t="s">
        <v>56</v>
      </c>
      <c r="C17" s="20" t="b">
        <v>0</v>
      </c>
      <c r="D17" s="20" t="b">
        <v>0</v>
      </c>
      <c r="E17" s="20" t="b">
        <v>1</v>
      </c>
      <c r="F17" s="20" t="b">
        <v>0</v>
      </c>
      <c r="G17" s="20" t="b">
        <v>0</v>
      </c>
      <c r="H17" s="21">
        <f t="shared" si="1"/>
        <v>3</v>
      </c>
    </row>
    <row r="18" spans="1:8" ht="47.25" x14ac:dyDescent="0.25">
      <c r="A18" s="13" t="s">
        <v>57</v>
      </c>
      <c r="B18" s="22" t="s">
        <v>58</v>
      </c>
      <c r="C18" s="20" t="b">
        <v>0</v>
      </c>
      <c r="D18" s="20" t="b">
        <v>0</v>
      </c>
      <c r="E18" s="20" t="b">
        <v>1</v>
      </c>
      <c r="F18" s="20" t="b">
        <v>0</v>
      </c>
      <c r="G18" s="20" t="b">
        <v>0</v>
      </c>
      <c r="H18" s="21">
        <f t="shared" si="1"/>
        <v>3</v>
      </c>
    </row>
    <row r="19" spans="1:8" ht="20.25" x14ac:dyDescent="0.25">
      <c r="A19" s="13"/>
      <c r="B19" s="13" t="s">
        <v>59</v>
      </c>
      <c r="C19" s="20" t="b">
        <v>0</v>
      </c>
      <c r="D19" s="20" t="b">
        <v>0</v>
      </c>
      <c r="E19" s="20" t="b">
        <v>0</v>
      </c>
      <c r="F19" s="20" t="b">
        <v>0</v>
      </c>
      <c r="G19" s="20" t="b">
        <v>0</v>
      </c>
      <c r="H19" s="21">
        <f>IF(C19=TRUE,1,0) + IF(D19=TRUE,2,0) + IF(E19=TRUE,3,0) + IF(F19=TRUE,4,0) + IF(G19=TRUE,5,0)</f>
        <v>0</v>
      </c>
    </row>
    <row r="20" spans="1:8" ht="31.5" x14ac:dyDescent="0.25">
      <c r="A20" s="13" t="s">
        <v>60</v>
      </c>
      <c r="B20" s="22" t="s">
        <v>61</v>
      </c>
      <c r="C20" s="20" t="b">
        <v>0</v>
      </c>
      <c r="D20" s="20" t="b">
        <v>0</v>
      </c>
      <c r="E20" s="20" t="b">
        <v>0</v>
      </c>
      <c r="F20" s="20" t="b">
        <v>1</v>
      </c>
      <c r="G20" s="20" t="b">
        <v>0</v>
      </c>
      <c r="H20" s="21">
        <f>IF(C20,1,0) + IF(D20,2,0) + IF(E20,3,0) + IF(F20,4,0) + IF(G20,5,0)</f>
        <v>4</v>
      </c>
    </row>
    <row r="21" spans="1:8" ht="31.5" x14ac:dyDescent="0.25">
      <c r="A21" s="13" t="s">
        <v>62</v>
      </c>
      <c r="B21" s="22" t="s">
        <v>63</v>
      </c>
      <c r="C21" s="20" t="b">
        <v>0</v>
      </c>
      <c r="D21" s="20" t="b">
        <v>0</v>
      </c>
      <c r="E21" s="20" t="b">
        <v>1</v>
      </c>
      <c r="F21" s="20" t="b">
        <v>0</v>
      </c>
      <c r="G21" s="20" t="b">
        <v>0</v>
      </c>
      <c r="H21" s="21">
        <f>IF(C21,1,0) + IF(D21,2,0) + IF(E21,3,0) + IF(F21,4,0) + IF(G21,5,0)</f>
        <v>3</v>
      </c>
    </row>
    <row r="22" spans="1:8" ht="47.25" x14ac:dyDescent="0.25">
      <c r="A22" s="13" t="s">
        <v>64</v>
      </c>
      <c r="B22" s="22" t="s">
        <v>65</v>
      </c>
      <c r="C22" s="20" t="b">
        <v>0</v>
      </c>
      <c r="D22" s="20" t="b">
        <v>0</v>
      </c>
      <c r="E22" s="20" t="b">
        <v>0</v>
      </c>
      <c r="F22" s="20" t="b">
        <v>1</v>
      </c>
      <c r="G22" s="20" t="b">
        <v>0</v>
      </c>
      <c r="H22" s="21">
        <f>IF(C22,1,0) + IF(D22,2,0) + IF(E22,3,0) + IF(F22,4,0) + IF(G22,5,0)</f>
        <v>4</v>
      </c>
    </row>
    <row r="23" spans="1:8" ht="31.5" x14ac:dyDescent="0.25">
      <c r="A23" s="13" t="s">
        <v>66</v>
      </c>
      <c r="B23" s="22" t="s">
        <v>67</v>
      </c>
      <c r="C23" s="20" t="b">
        <v>0</v>
      </c>
      <c r="D23" s="20" t="b">
        <v>0</v>
      </c>
      <c r="E23" s="20" t="b">
        <v>0</v>
      </c>
      <c r="F23" s="20" t="b">
        <v>1</v>
      </c>
      <c r="G23" s="20" t="b">
        <v>0</v>
      </c>
      <c r="H23" s="21">
        <f>IF(C23,1,0) + IF(D23,2,0) + IF(E23,3,0) + IF(F23,4,0) + IF(G23,5,0)</f>
        <v>4</v>
      </c>
    </row>
    <row r="24" spans="1:8" ht="20.25" x14ac:dyDescent="0.25">
      <c r="A24" s="13"/>
      <c r="B24" s="13" t="s">
        <v>68</v>
      </c>
      <c r="C24" s="20" t="b">
        <v>0</v>
      </c>
      <c r="D24" s="20" t="b">
        <v>0</v>
      </c>
      <c r="E24" s="20" t="b">
        <v>0</v>
      </c>
      <c r="F24" s="20" t="b">
        <v>0</v>
      </c>
      <c r="G24" s="20" t="b">
        <v>0</v>
      </c>
      <c r="H24" s="21">
        <f>IF(C24=TRUE,1,0) + IF(D24=TRUE,2,0) + IF(E24=TRUE,3,0) + IF(F24=TRUE,4,0) + IF(G24=TRUE,5,0)</f>
        <v>0</v>
      </c>
    </row>
    <row r="25" spans="1:8" ht="31.5" x14ac:dyDescent="0.25">
      <c r="A25" s="13" t="s">
        <v>69</v>
      </c>
      <c r="B25" s="22" t="s">
        <v>70</v>
      </c>
      <c r="C25" s="20" t="b">
        <v>0</v>
      </c>
      <c r="D25" s="20" t="b">
        <v>0</v>
      </c>
      <c r="E25" s="20" t="b">
        <v>1</v>
      </c>
      <c r="F25" s="20" t="b">
        <v>0</v>
      </c>
      <c r="G25" s="20" t="b">
        <v>0</v>
      </c>
      <c r="H25" s="21">
        <f t="shared" ref="H25:H32" si="2">IF(C25,1,0) + IF(D25,2,0) + IF(E25,3,0) + IF(F25,4,0) + IF(G25,5,0)</f>
        <v>3</v>
      </c>
    </row>
    <row r="26" spans="1:8" ht="31.5" x14ac:dyDescent="0.25">
      <c r="A26" s="13" t="s">
        <v>71</v>
      </c>
      <c r="B26" s="22" t="s">
        <v>72</v>
      </c>
      <c r="C26" s="20" t="b">
        <v>0</v>
      </c>
      <c r="D26" s="20" t="b">
        <v>0</v>
      </c>
      <c r="E26" s="20" t="b">
        <v>0</v>
      </c>
      <c r="F26" s="20" t="b">
        <v>0</v>
      </c>
      <c r="G26" s="20" t="b">
        <v>1</v>
      </c>
      <c r="H26" s="21">
        <f t="shared" si="2"/>
        <v>5</v>
      </c>
    </row>
    <row r="27" spans="1:8" ht="31.5" x14ac:dyDescent="0.25">
      <c r="A27" s="13" t="s">
        <v>73</v>
      </c>
      <c r="B27" s="22" t="s">
        <v>74</v>
      </c>
      <c r="C27" s="20" t="b">
        <v>0</v>
      </c>
      <c r="D27" s="20" t="b">
        <v>0</v>
      </c>
      <c r="E27" s="20" t="b">
        <v>0</v>
      </c>
      <c r="F27" s="20" t="b">
        <v>0</v>
      </c>
      <c r="G27" s="20" t="b">
        <v>1</v>
      </c>
      <c r="H27" s="21">
        <f t="shared" si="2"/>
        <v>5</v>
      </c>
    </row>
    <row r="28" spans="1:8" ht="31.5" x14ac:dyDescent="0.25">
      <c r="A28" s="13" t="s">
        <v>75</v>
      </c>
      <c r="B28" s="19" t="s">
        <v>76</v>
      </c>
      <c r="C28" s="20" t="b">
        <v>0</v>
      </c>
      <c r="D28" s="20" t="b">
        <v>0</v>
      </c>
      <c r="E28" s="20" t="b">
        <v>0</v>
      </c>
      <c r="F28" s="20" t="b">
        <v>1</v>
      </c>
      <c r="G28" s="20" t="b">
        <v>0</v>
      </c>
      <c r="H28" s="21">
        <f t="shared" si="2"/>
        <v>4</v>
      </c>
    </row>
    <row r="29" spans="1:8" ht="47.25" x14ac:dyDescent="0.25">
      <c r="A29" s="13" t="s">
        <v>77</v>
      </c>
      <c r="B29" s="19" t="s">
        <v>78</v>
      </c>
      <c r="C29" s="20" t="b">
        <v>0</v>
      </c>
      <c r="D29" s="20" t="b">
        <v>0</v>
      </c>
      <c r="E29" s="20" t="b">
        <v>0</v>
      </c>
      <c r="F29" s="20" t="b">
        <v>1</v>
      </c>
      <c r="G29" s="20" t="b">
        <v>0</v>
      </c>
      <c r="H29" s="21">
        <f t="shared" si="2"/>
        <v>4</v>
      </c>
    </row>
    <row r="30" spans="1:8" ht="31.5" x14ac:dyDescent="0.25">
      <c r="A30" s="13" t="s">
        <v>79</v>
      </c>
      <c r="B30" s="22" t="s">
        <v>80</v>
      </c>
      <c r="C30" s="20" t="b">
        <v>0</v>
      </c>
      <c r="D30" s="20" t="b">
        <v>0</v>
      </c>
      <c r="E30" s="20" t="b">
        <v>0</v>
      </c>
      <c r="F30" s="20" t="b">
        <v>1</v>
      </c>
      <c r="G30" s="20" t="b">
        <v>0</v>
      </c>
      <c r="H30" s="21">
        <f t="shared" si="2"/>
        <v>4</v>
      </c>
    </row>
    <row r="31" spans="1:8" ht="31.5" x14ac:dyDescent="0.25">
      <c r="A31" s="13" t="s">
        <v>81</v>
      </c>
      <c r="B31" s="22" t="s">
        <v>82</v>
      </c>
      <c r="C31" s="20" t="b">
        <v>0</v>
      </c>
      <c r="D31" s="20" t="b">
        <v>0</v>
      </c>
      <c r="E31" s="20" t="b">
        <v>1</v>
      </c>
      <c r="F31" s="20" t="b">
        <v>0</v>
      </c>
      <c r="G31" s="20" t="b">
        <v>0</v>
      </c>
      <c r="H31" s="21">
        <f t="shared" si="2"/>
        <v>3</v>
      </c>
    </row>
    <row r="32" spans="1:8" ht="47.25" x14ac:dyDescent="0.25">
      <c r="A32" s="13" t="s">
        <v>83</v>
      </c>
      <c r="B32" s="22" t="s">
        <v>84</v>
      </c>
      <c r="C32" s="20" t="b">
        <v>0</v>
      </c>
      <c r="D32" s="20" t="b">
        <v>0</v>
      </c>
      <c r="E32" s="20" t="b">
        <v>0</v>
      </c>
      <c r="F32" s="20" t="b">
        <v>1</v>
      </c>
      <c r="G32" s="20" t="b">
        <v>0</v>
      </c>
      <c r="H32" s="21">
        <f t="shared" si="2"/>
        <v>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32"/>
  <sheetViews>
    <sheetView workbookViewId="0"/>
  </sheetViews>
  <sheetFormatPr defaultRowHeight="15.75" x14ac:dyDescent="0.25"/>
  <cols>
    <col min="1" max="1" width="18.625" customWidth="1"/>
    <col min="2" max="2" width="54.5" customWidth="1"/>
    <col min="3" max="3" width="8.625" customWidth="1"/>
    <col min="4" max="4" width="10.25" customWidth="1"/>
    <col min="5" max="5" width="8.625" customWidth="1"/>
    <col min="7" max="7" width="8.125" customWidth="1"/>
    <col min="8" max="8" width="14.625" customWidth="1"/>
    <col min="9" max="9" width="8.625" customWidth="1"/>
  </cols>
  <sheetData>
    <row r="1" spans="1:8" ht="40.5" x14ac:dyDescent="0.25">
      <c r="B1" s="13" t="s">
        <v>19</v>
      </c>
      <c r="C1" s="13" t="s">
        <v>20</v>
      </c>
      <c r="D1" s="13" t="s">
        <v>21</v>
      </c>
      <c r="E1" s="13" t="s">
        <v>22</v>
      </c>
      <c r="F1" s="13" t="s">
        <v>23</v>
      </c>
      <c r="G1" s="13" t="s">
        <v>24</v>
      </c>
      <c r="H1" s="14" t="s">
        <v>25</v>
      </c>
    </row>
    <row r="2" spans="1:8" ht="31.5" x14ac:dyDescent="0.25">
      <c r="A2" s="13" t="s">
        <v>26</v>
      </c>
      <c r="B2" s="19" t="s">
        <v>27</v>
      </c>
      <c r="C2" s="20" t="b">
        <v>0</v>
      </c>
      <c r="D2" s="20" t="b">
        <v>0</v>
      </c>
      <c r="E2" s="20" t="b">
        <v>0</v>
      </c>
      <c r="F2" s="20" t="b">
        <v>0</v>
      </c>
      <c r="G2" s="20" t="b">
        <v>1</v>
      </c>
      <c r="H2" s="21">
        <f t="shared" ref="H2:H9" si="0">IF(C2,1,0) + IF(D2,2,0) + IF(E2,3,0) + IF(F2,4,0) + IF(G2,5,0)</f>
        <v>5</v>
      </c>
    </row>
    <row r="3" spans="1:8" ht="31.5" x14ac:dyDescent="0.25">
      <c r="A3" s="13" t="s">
        <v>28</v>
      </c>
      <c r="B3" s="22" t="s">
        <v>29</v>
      </c>
      <c r="C3" s="20" t="b">
        <v>0</v>
      </c>
      <c r="D3" s="20" t="b">
        <v>0</v>
      </c>
      <c r="E3" s="20" t="b">
        <v>0</v>
      </c>
      <c r="F3" s="20" t="b">
        <v>1</v>
      </c>
      <c r="G3" s="20" t="b">
        <v>0</v>
      </c>
      <c r="H3" s="21">
        <f t="shared" si="0"/>
        <v>4</v>
      </c>
    </row>
    <row r="4" spans="1:8" ht="31.5" x14ac:dyDescent="0.25">
      <c r="A4" s="13" t="s">
        <v>30</v>
      </c>
      <c r="B4" s="22" t="s">
        <v>31</v>
      </c>
      <c r="C4" s="20" t="b">
        <v>0</v>
      </c>
      <c r="D4" s="20" t="b">
        <v>0</v>
      </c>
      <c r="E4" s="20" t="b">
        <v>0</v>
      </c>
      <c r="F4" s="20" t="b">
        <v>1</v>
      </c>
      <c r="G4" s="20" t="b">
        <v>0</v>
      </c>
      <c r="H4" s="21">
        <f t="shared" si="0"/>
        <v>4</v>
      </c>
    </row>
    <row r="5" spans="1:8" ht="31.5" x14ac:dyDescent="0.25">
      <c r="A5" s="13" t="s">
        <v>32</v>
      </c>
      <c r="B5" s="22" t="s">
        <v>33</v>
      </c>
      <c r="C5" s="20" t="b">
        <v>0</v>
      </c>
      <c r="D5" s="20" t="b">
        <v>0</v>
      </c>
      <c r="E5" s="20" t="b">
        <v>0</v>
      </c>
      <c r="F5" s="20" t="b">
        <v>0</v>
      </c>
      <c r="G5" s="20" t="b">
        <v>1</v>
      </c>
      <c r="H5" s="21">
        <f t="shared" si="0"/>
        <v>5</v>
      </c>
    </row>
    <row r="6" spans="1:8" ht="31.5" x14ac:dyDescent="0.25">
      <c r="A6" s="13" t="s">
        <v>34</v>
      </c>
      <c r="B6" s="22" t="s">
        <v>35</v>
      </c>
      <c r="C6" s="20" t="b">
        <v>0</v>
      </c>
      <c r="D6" s="20" t="b">
        <v>0</v>
      </c>
      <c r="E6" s="20" t="b">
        <v>0</v>
      </c>
      <c r="F6" s="20" t="b">
        <v>1</v>
      </c>
      <c r="G6" s="20" t="b">
        <v>0</v>
      </c>
      <c r="H6" s="21">
        <f t="shared" si="0"/>
        <v>4</v>
      </c>
    </row>
    <row r="7" spans="1:8" ht="31.5" x14ac:dyDescent="0.25">
      <c r="A7" s="13" t="s">
        <v>36</v>
      </c>
      <c r="B7" s="22" t="s">
        <v>37</v>
      </c>
      <c r="C7" s="20" t="b">
        <v>0</v>
      </c>
      <c r="D7" s="20" t="b">
        <v>0</v>
      </c>
      <c r="E7" s="20" t="b">
        <v>0</v>
      </c>
      <c r="F7" s="20" t="b">
        <v>1</v>
      </c>
      <c r="G7" s="20" t="b">
        <v>0</v>
      </c>
      <c r="H7" s="21">
        <f t="shared" si="0"/>
        <v>4</v>
      </c>
    </row>
    <row r="8" spans="1:8" ht="31.5" x14ac:dyDescent="0.25">
      <c r="A8" s="13" t="s">
        <v>38</v>
      </c>
      <c r="B8" s="22" t="s">
        <v>39</v>
      </c>
      <c r="C8" s="20" t="b">
        <v>0</v>
      </c>
      <c r="D8" s="20" t="b">
        <v>0</v>
      </c>
      <c r="E8" s="20" t="b">
        <v>0</v>
      </c>
      <c r="F8" s="20" t="b">
        <v>1</v>
      </c>
      <c r="G8" s="20" t="b">
        <v>0</v>
      </c>
      <c r="H8" s="21">
        <f t="shared" si="0"/>
        <v>4</v>
      </c>
    </row>
    <row r="9" spans="1:8" ht="31.5" x14ac:dyDescent="0.25">
      <c r="A9" s="13" t="s">
        <v>40</v>
      </c>
      <c r="B9" s="22" t="s">
        <v>41</v>
      </c>
      <c r="C9" s="20" t="b">
        <v>0</v>
      </c>
      <c r="D9" s="20" t="b">
        <v>0</v>
      </c>
      <c r="E9" s="20" t="b">
        <v>0</v>
      </c>
      <c r="F9" s="20" t="b">
        <v>1</v>
      </c>
      <c r="G9" s="20" t="b">
        <v>0</v>
      </c>
      <c r="H9" s="21">
        <f t="shared" si="0"/>
        <v>4</v>
      </c>
    </row>
    <row r="10" spans="1:8" ht="20.25" x14ac:dyDescent="0.25">
      <c r="A10" s="13"/>
      <c r="B10" s="13" t="s">
        <v>42</v>
      </c>
      <c r="C10" s="20" t="b">
        <v>0</v>
      </c>
      <c r="D10" s="20" t="b">
        <v>0</v>
      </c>
      <c r="E10" s="20" t="b">
        <v>0</v>
      </c>
      <c r="F10" s="20" t="b">
        <v>0</v>
      </c>
      <c r="G10" s="20" t="b">
        <v>0</v>
      </c>
      <c r="H10" s="21">
        <f>IF(C10=TRUE,1,0) + IF(D10=TRUE,2,0) + IF(E10=TRUE,3,0) + IF(F10=TRUE,4,0) + IF(G10=TRUE,5,0)</f>
        <v>0</v>
      </c>
    </row>
    <row r="11" spans="1:8" ht="47.25" x14ac:dyDescent="0.25">
      <c r="A11" s="13" t="s">
        <v>43</v>
      </c>
      <c r="B11" s="22" t="s">
        <v>44</v>
      </c>
      <c r="C11" s="20" t="b">
        <v>0</v>
      </c>
      <c r="D11" s="20" t="b">
        <v>0</v>
      </c>
      <c r="E11" s="20" t="b">
        <v>0</v>
      </c>
      <c r="F11" s="20" t="b">
        <v>1</v>
      </c>
      <c r="G11" s="20" t="b">
        <v>0</v>
      </c>
      <c r="H11" s="21">
        <f t="shared" ref="H11:H18" si="1">IF(C11,1,0) + IF(D11,2,0) + IF(E11,3,0) + IF(F11,4,0) + IF(G11,5,0)</f>
        <v>4</v>
      </c>
    </row>
    <row r="12" spans="1:8" ht="31.5" x14ac:dyDescent="0.25">
      <c r="A12" s="13" t="s">
        <v>45</v>
      </c>
      <c r="B12" s="22" t="s">
        <v>46</v>
      </c>
      <c r="C12" s="20" t="b">
        <v>0</v>
      </c>
      <c r="D12" s="20" t="b">
        <v>0</v>
      </c>
      <c r="E12" s="20" t="b">
        <v>0</v>
      </c>
      <c r="F12" s="20" t="b">
        <v>1</v>
      </c>
      <c r="G12" s="20" t="b">
        <v>0</v>
      </c>
      <c r="H12" s="21">
        <f t="shared" si="1"/>
        <v>4</v>
      </c>
    </row>
    <row r="13" spans="1:8" ht="47.25" x14ac:dyDescent="0.25">
      <c r="A13" s="13" t="s">
        <v>47</v>
      </c>
      <c r="B13" s="22" t="s">
        <v>48</v>
      </c>
      <c r="C13" s="20" t="b">
        <v>0</v>
      </c>
      <c r="D13" s="20" t="b">
        <v>0</v>
      </c>
      <c r="E13" s="20" t="b">
        <v>0</v>
      </c>
      <c r="F13" s="20" t="b">
        <v>0</v>
      </c>
      <c r="G13" s="20" t="b">
        <v>1</v>
      </c>
      <c r="H13" s="21">
        <f t="shared" si="1"/>
        <v>5</v>
      </c>
    </row>
    <row r="14" spans="1:8" ht="31.5" x14ac:dyDescent="0.25">
      <c r="A14" s="13" t="s">
        <v>49</v>
      </c>
      <c r="B14" s="22" t="s">
        <v>50</v>
      </c>
      <c r="C14" s="20" t="b">
        <v>0</v>
      </c>
      <c r="D14" s="20" t="b">
        <v>1</v>
      </c>
      <c r="E14" s="20" t="b">
        <v>0</v>
      </c>
      <c r="F14" s="20" t="b">
        <v>0</v>
      </c>
      <c r="G14" s="20" t="b">
        <v>0</v>
      </c>
      <c r="H14" s="21">
        <f t="shared" si="1"/>
        <v>2</v>
      </c>
    </row>
    <row r="15" spans="1:8" ht="31.5" x14ac:dyDescent="0.25">
      <c r="A15" s="13" t="s">
        <v>51</v>
      </c>
      <c r="B15" s="22" t="s">
        <v>52</v>
      </c>
      <c r="C15" s="20" t="b">
        <v>0</v>
      </c>
      <c r="D15" s="20" t="b">
        <v>0</v>
      </c>
      <c r="E15" s="20" t="b">
        <v>0</v>
      </c>
      <c r="F15" s="20" t="b">
        <v>1</v>
      </c>
      <c r="G15" s="20" t="b">
        <v>0</v>
      </c>
      <c r="H15" s="21">
        <f t="shared" si="1"/>
        <v>4</v>
      </c>
    </row>
    <row r="16" spans="1:8" ht="31.5" x14ac:dyDescent="0.25">
      <c r="A16" s="13" t="s">
        <v>53</v>
      </c>
      <c r="B16" s="22" t="s">
        <v>54</v>
      </c>
      <c r="C16" s="20" t="b">
        <v>0</v>
      </c>
      <c r="D16" s="20" t="b">
        <v>0</v>
      </c>
      <c r="E16" s="20" t="b">
        <v>0</v>
      </c>
      <c r="F16" s="20" t="b">
        <v>1</v>
      </c>
      <c r="G16" s="20" t="b">
        <v>0</v>
      </c>
      <c r="H16" s="21">
        <f t="shared" si="1"/>
        <v>4</v>
      </c>
    </row>
    <row r="17" spans="1:8" ht="31.5" x14ac:dyDescent="0.25">
      <c r="A17" s="13" t="s">
        <v>55</v>
      </c>
      <c r="B17" s="22" t="s">
        <v>56</v>
      </c>
      <c r="C17" s="20" t="b">
        <v>0</v>
      </c>
      <c r="D17" s="20" t="b">
        <v>0</v>
      </c>
      <c r="E17" s="20" t="b">
        <v>0</v>
      </c>
      <c r="F17" s="20" t="b">
        <v>1</v>
      </c>
      <c r="G17" s="20" t="b">
        <v>0</v>
      </c>
      <c r="H17" s="21">
        <f t="shared" si="1"/>
        <v>4</v>
      </c>
    </row>
    <row r="18" spans="1:8" ht="47.25" x14ac:dyDescent="0.25">
      <c r="A18" s="13" t="s">
        <v>57</v>
      </c>
      <c r="B18" s="22" t="s">
        <v>58</v>
      </c>
      <c r="C18" s="20" t="b">
        <v>0</v>
      </c>
      <c r="D18" s="20" t="b">
        <v>0</v>
      </c>
      <c r="E18" s="20" t="b">
        <v>0</v>
      </c>
      <c r="F18" s="20" t="b">
        <v>0</v>
      </c>
      <c r="G18" s="20" t="b">
        <v>1</v>
      </c>
      <c r="H18" s="21">
        <f t="shared" si="1"/>
        <v>5</v>
      </c>
    </row>
    <row r="19" spans="1:8" ht="20.25" x14ac:dyDescent="0.25">
      <c r="A19" s="13"/>
      <c r="B19" s="13" t="s">
        <v>59</v>
      </c>
      <c r="C19" s="20" t="b">
        <v>0</v>
      </c>
      <c r="D19" s="20" t="b">
        <v>0</v>
      </c>
      <c r="E19" s="20" t="b">
        <v>0</v>
      </c>
      <c r="F19" s="20" t="b">
        <v>0</v>
      </c>
      <c r="G19" s="20" t="b">
        <v>0</v>
      </c>
      <c r="H19" s="21">
        <f>IF(C19=TRUE,1,0) + IF(D19=TRUE,2,0) + IF(E19=TRUE,3,0) + IF(F19=TRUE,4,0) + IF(G19=TRUE,5,0)</f>
        <v>0</v>
      </c>
    </row>
    <row r="20" spans="1:8" ht="31.5" x14ac:dyDescent="0.25">
      <c r="A20" s="13" t="s">
        <v>60</v>
      </c>
      <c r="B20" s="22" t="s">
        <v>61</v>
      </c>
      <c r="C20" s="20" t="b">
        <v>0</v>
      </c>
      <c r="D20" s="20" t="b">
        <v>0</v>
      </c>
      <c r="E20" s="20" t="b">
        <v>0</v>
      </c>
      <c r="F20" s="20" t="b">
        <v>1</v>
      </c>
      <c r="G20" s="20" t="b">
        <v>0</v>
      </c>
      <c r="H20" s="21">
        <f>IF(C20,1,0) + IF(D20,2,0) + IF(E20,3,0) + IF(F20,4,0) + IF(G20,5,0)</f>
        <v>4</v>
      </c>
    </row>
    <row r="21" spans="1:8" ht="31.5" x14ac:dyDescent="0.25">
      <c r="A21" s="13" t="s">
        <v>62</v>
      </c>
      <c r="B21" s="22" t="s">
        <v>63</v>
      </c>
      <c r="C21" s="20" t="b">
        <v>0</v>
      </c>
      <c r="D21" s="20" t="b">
        <v>0</v>
      </c>
      <c r="E21" s="20" t="b">
        <v>0</v>
      </c>
      <c r="F21" s="20" t="b">
        <v>0</v>
      </c>
      <c r="G21" s="20" t="b">
        <v>1</v>
      </c>
      <c r="H21" s="21">
        <f>IF(C21,1,0) + IF(D21,2,0) + IF(E21,3,0) + IF(F21,4,0) + IF(G21,5,0)</f>
        <v>5</v>
      </c>
    </row>
    <row r="22" spans="1:8" ht="47.25" x14ac:dyDescent="0.25">
      <c r="A22" s="13" t="s">
        <v>64</v>
      </c>
      <c r="B22" s="22" t="s">
        <v>65</v>
      </c>
      <c r="C22" s="20" t="b">
        <v>0</v>
      </c>
      <c r="D22" s="20" t="b">
        <v>0</v>
      </c>
      <c r="E22" s="20" t="b">
        <v>0</v>
      </c>
      <c r="F22" s="20" t="b">
        <v>0</v>
      </c>
      <c r="G22" s="20" t="b">
        <v>1</v>
      </c>
      <c r="H22" s="21">
        <f>IF(C22,1,0) + IF(D22,2,0) + IF(E22,3,0) + IF(F22,4,0) + IF(G22,5,0)</f>
        <v>5</v>
      </c>
    </row>
    <row r="23" spans="1:8" ht="31.5" x14ac:dyDescent="0.25">
      <c r="A23" s="13" t="s">
        <v>66</v>
      </c>
      <c r="B23" s="22" t="s">
        <v>67</v>
      </c>
      <c r="C23" s="20" t="b">
        <v>0</v>
      </c>
      <c r="D23" s="20" t="b">
        <v>0</v>
      </c>
      <c r="E23" s="20" t="b">
        <v>1</v>
      </c>
      <c r="F23" s="20" t="b">
        <v>0</v>
      </c>
      <c r="G23" s="20" t="b">
        <v>0</v>
      </c>
      <c r="H23" s="21">
        <f>IF(C23,1,0) + IF(D23,2,0) + IF(E23,3,0) + IF(F23,4,0) + IF(G23,5,0)</f>
        <v>3</v>
      </c>
    </row>
    <row r="24" spans="1:8" ht="20.25" x14ac:dyDescent="0.25">
      <c r="A24" s="13"/>
      <c r="B24" s="13" t="s">
        <v>68</v>
      </c>
      <c r="C24" s="20" t="b">
        <v>0</v>
      </c>
      <c r="D24" s="20" t="b">
        <v>0</v>
      </c>
      <c r="E24" s="20" t="b">
        <v>0</v>
      </c>
      <c r="F24" s="20" t="b">
        <v>0</v>
      </c>
      <c r="G24" s="20" t="b">
        <v>0</v>
      </c>
      <c r="H24" s="21">
        <f>IF(C24=TRUE,1,0) + IF(D24=TRUE,2,0) + IF(E24=TRUE,3,0) + IF(F24=TRUE,4,0) + IF(G24=TRUE,5,0)</f>
        <v>0</v>
      </c>
    </row>
    <row r="25" spans="1:8" ht="31.5" x14ac:dyDescent="0.25">
      <c r="A25" s="13" t="s">
        <v>69</v>
      </c>
      <c r="B25" s="22" t="s">
        <v>70</v>
      </c>
      <c r="C25" s="20" t="b">
        <v>0</v>
      </c>
      <c r="D25" s="20" t="b">
        <v>0</v>
      </c>
      <c r="E25" s="20" t="b">
        <v>0</v>
      </c>
      <c r="F25" s="20" t="b">
        <v>1</v>
      </c>
      <c r="G25" s="20" t="b">
        <v>0</v>
      </c>
      <c r="H25" s="21">
        <f t="shared" ref="H25:H32" si="2">IF(C25,1,0) + IF(D25,2,0) + IF(E25,3,0) + IF(F25,4,0) + IF(G25,5,0)</f>
        <v>4</v>
      </c>
    </row>
    <row r="26" spans="1:8" ht="31.5" x14ac:dyDescent="0.25">
      <c r="A26" s="13" t="s">
        <v>71</v>
      </c>
      <c r="B26" s="22" t="s">
        <v>72</v>
      </c>
      <c r="C26" s="20" t="b">
        <v>0</v>
      </c>
      <c r="D26" s="20" t="b">
        <v>0</v>
      </c>
      <c r="E26" s="20" t="b">
        <v>0</v>
      </c>
      <c r="F26" s="20" t="b">
        <v>1</v>
      </c>
      <c r="G26" s="20" t="b">
        <v>0</v>
      </c>
      <c r="H26" s="21">
        <f t="shared" si="2"/>
        <v>4</v>
      </c>
    </row>
    <row r="27" spans="1:8" ht="31.5" x14ac:dyDescent="0.25">
      <c r="A27" s="13" t="s">
        <v>73</v>
      </c>
      <c r="B27" s="22" t="s">
        <v>74</v>
      </c>
      <c r="C27" s="20" t="b">
        <v>0</v>
      </c>
      <c r="D27" s="20" t="b">
        <v>0</v>
      </c>
      <c r="E27" s="20" t="b">
        <v>0</v>
      </c>
      <c r="F27" s="20" t="b">
        <v>1</v>
      </c>
      <c r="G27" s="20" t="b">
        <v>0</v>
      </c>
      <c r="H27" s="21">
        <f t="shared" si="2"/>
        <v>4</v>
      </c>
    </row>
    <row r="28" spans="1:8" ht="31.5" x14ac:dyDescent="0.25">
      <c r="A28" s="13" t="s">
        <v>75</v>
      </c>
      <c r="B28" s="19" t="s">
        <v>76</v>
      </c>
      <c r="C28" s="20" t="b">
        <v>0</v>
      </c>
      <c r="D28" s="20" t="b">
        <v>0</v>
      </c>
      <c r="E28" s="20" t="b">
        <v>0</v>
      </c>
      <c r="F28" s="20" t="b">
        <v>1</v>
      </c>
      <c r="G28" s="20" t="b">
        <v>0</v>
      </c>
      <c r="H28" s="21">
        <f t="shared" si="2"/>
        <v>4</v>
      </c>
    </row>
    <row r="29" spans="1:8" ht="47.25" x14ac:dyDescent="0.25">
      <c r="A29" s="13" t="s">
        <v>77</v>
      </c>
      <c r="B29" s="19" t="s">
        <v>78</v>
      </c>
      <c r="C29" s="20" t="b">
        <v>0</v>
      </c>
      <c r="D29" s="20" t="b">
        <v>0</v>
      </c>
      <c r="E29" s="20" t="b">
        <v>0</v>
      </c>
      <c r="F29" s="20" t="b">
        <v>1</v>
      </c>
      <c r="G29" s="20" t="b">
        <v>0</v>
      </c>
      <c r="H29" s="21">
        <f t="shared" si="2"/>
        <v>4</v>
      </c>
    </row>
    <row r="30" spans="1:8" ht="31.5" x14ac:dyDescent="0.25">
      <c r="A30" s="13" t="s">
        <v>79</v>
      </c>
      <c r="B30" s="22" t="s">
        <v>80</v>
      </c>
      <c r="C30" s="20" t="b">
        <v>0</v>
      </c>
      <c r="D30" s="20" t="b">
        <v>0</v>
      </c>
      <c r="E30" s="20" t="b">
        <v>1</v>
      </c>
      <c r="F30" s="20" t="b">
        <v>0</v>
      </c>
      <c r="G30" s="20" t="b">
        <v>0</v>
      </c>
      <c r="H30" s="21">
        <f t="shared" si="2"/>
        <v>3</v>
      </c>
    </row>
    <row r="31" spans="1:8" ht="31.5" x14ac:dyDescent="0.25">
      <c r="A31" s="13" t="s">
        <v>81</v>
      </c>
      <c r="B31" s="22" t="s">
        <v>82</v>
      </c>
      <c r="C31" s="20" t="b">
        <v>0</v>
      </c>
      <c r="D31" s="20" t="b">
        <v>0</v>
      </c>
      <c r="E31" s="20" t="b">
        <v>1</v>
      </c>
      <c r="F31" s="20" t="b">
        <v>0</v>
      </c>
      <c r="G31" s="20" t="b">
        <v>0</v>
      </c>
      <c r="H31" s="21">
        <f t="shared" si="2"/>
        <v>3</v>
      </c>
    </row>
    <row r="32" spans="1:8" ht="47.25" x14ac:dyDescent="0.25">
      <c r="A32" s="13" t="s">
        <v>83</v>
      </c>
      <c r="B32" s="22" t="s">
        <v>84</v>
      </c>
      <c r="C32" s="20" t="b">
        <v>0</v>
      </c>
      <c r="D32" s="20" t="b">
        <v>0</v>
      </c>
      <c r="E32" s="20" t="b">
        <v>0</v>
      </c>
      <c r="F32" s="20" t="b">
        <v>1</v>
      </c>
      <c r="G32" s="20" t="b">
        <v>0</v>
      </c>
      <c r="H32" s="21">
        <f t="shared" si="2"/>
        <v>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32"/>
  <sheetViews>
    <sheetView workbookViewId="0"/>
  </sheetViews>
  <sheetFormatPr defaultRowHeight="15.75" x14ac:dyDescent="0.25"/>
  <cols>
    <col min="1" max="1" width="18.625" customWidth="1"/>
    <col min="2" max="2" width="54.5" customWidth="1"/>
    <col min="3" max="3" width="8.625" customWidth="1"/>
    <col min="4" max="4" width="10.25" customWidth="1"/>
    <col min="5" max="5" width="8.625" customWidth="1"/>
    <col min="7" max="7" width="8.125" customWidth="1"/>
    <col min="8" max="8" width="14.625" customWidth="1"/>
    <col min="9" max="9" width="8.625" customWidth="1"/>
  </cols>
  <sheetData>
    <row r="1" spans="1:8" ht="40.5" x14ac:dyDescent="0.25">
      <c r="B1" s="13" t="s">
        <v>19</v>
      </c>
      <c r="C1" s="13" t="s">
        <v>20</v>
      </c>
      <c r="D1" s="13" t="s">
        <v>21</v>
      </c>
      <c r="E1" s="13" t="s">
        <v>22</v>
      </c>
      <c r="F1" s="13" t="s">
        <v>23</v>
      </c>
      <c r="G1" s="13" t="s">
        <v>24</v>
      </c>
      <c r="H1" s="14" t="s">
        <v>25</v>
      </c>
    </row>
    <row r="2" spans="1:8" ht="31.5" x14ac:dyDescent="0.25">
      <c r="A2" s="13" t="s">
        <v>26</v>
      </c>
      <c r="B2" s="19" t="s">
        <v>27</v>
      </c>
      <c r="C2" s="20" t="b">
        <v>0</v>
      </c>
      <c r="D2" s="20" t="b">
        <v>0</v>
      </c>
      <c r="E2" s="20" t="b">
        <v>0</v>
      </c>
      <c r="F2" s="20" t="b">
        <v>0</v>
      </c>
      <c r="G2" s="20" t="b">
        <v>1</v>
      </c>
      <c r="H2" s="21">
        <f t="shared" ref="H2:H9" si="0">IF(C2,1,0) + IF(D2,2,0) + IF(E2,3,0) + IF(F2,4,0) + IF(G2,5,0)</f>
        <v>5</v>
      </c>
    </row>
    <row r="3" spans="1:8" ht="31.5" x14ac:dyDescent="0.25">
      <c r="A3" s="13" t="s">
        <v>28</v>
      </c>
      <c r="B3" s="22" t="s">
        <v>29</v>
      </c>
      <c r="C3" s="20" t="b">
        <v>0</v>
      </c>
      <c r="D3" s="20" t="b">
        <v>0</v>
      </c>
      <c r="E3" s="20" t="b">
        <v>0</v>
      </c>
      <c r="F3" s="20" t="b">
        <v>1</v>
      </c>
      <c r="G3" s="20" t="b">
        <v>0</v>
      </c>
      <c r="H3" s="21">
        <f t="shared" si="0"/>
        <v>4</v>
      </c>
    </row>
    <row r="4" spans="1:8" ht="31.5" x14ac:dyDescent="0.25">
      <c r="A4" s="13" t="s">
        <v>30</v>
      </c>
      <c r="B4" s="22" t="s">
        <v>31</v>
      </c>
      <c r="C4" s="20" t="b">
        <v>0</v>
      </c>
      <c r="D4" s="20" t="b">
        <v>0</v>
      </c>
      <c r="E4" s="20" t="b">
        <v>0</v>
      </c>
      <c r="F4" s="20" t="b">
        <v>1</v>
      </c>
      <c r="G4" s="20" t="b">
        <v>0</v>
      </c>
      <c r="H4" s="21">
        <f t="shared" si="0"/>
        <v>4</v>
      </c>
    </row>
    <row r="5" spans="1:8" ht="31.5" x14ac:dyDescent="0.25">
      <c r="A5" s="13" t="s">
        <v>32</v>
      </c>
      <c r="B5" s="22" t="s">
        <v>33</v>
      </c>
      <c r="C5" s="20" t="b">
        <v>0</v>
      </c>
      <c r="D5" s="20" t="b">
        <v>0</v>
      </c>
      <c r="E5" s="20" t="b">
        <v>0</v>
      </c>
      <c r="F5" s="20" t="b">
        <v>1</v>
      </c>
      <c r="G5" s="20" t="b">
        <v>0</v>
      </c>
      <c r="H5" s="21">
        <f t="shared" si="0"/>
        <v>4</v>
      </c>
    </row>
    <row r="6" spans="1:8" ht="31.5" x14ac:dyDescent="0.25">
      <c r="A6" s="13" t="s">
        <v>34</v>
      </c>
      <c r="B6" s="22" t="s">
        <v>35</v>
      </c>
      <c r="C6" s="20" t="b">
        <v>0</v>
      </c>
      <c r="D6" s="20" t="b">
        <v>0</v>
      </c>
      <c r="E6" s="20" t="b">
        <v>0</v>
      </c>
      <c r="F6" s="20" t="b">
        <v>1</v>
      </c>
      <c r="G6" s="20" t="b">
        <v>0</v>
      </c>
      <c r="H6" s="21">
        <f t="shared" si="0"/>
        <v>4</v>
      </c>
    </row>
    <row r="7" spans="1:8" ht="31.5" x14ac:dyDescent="0.25">
      <c r="A7" s="13" t="s">
        <v>36</v>
      </c>
      <c r="B7" s="22" t="s">
        <v>37</v>
      </c>
      <c r="C7" s="20" t="b">
        <v>0</v>
      </c>
      <c r="D7" s="20" t="b">
        <v>0</v>
      </c>
      <c r="E7" s="20" t="b">
        <v>0</v>
      </c>
      <c r="F7" s="20" t="b">
        <v>1</v>
      </c>
      <c r="G7" s="20" t="b">
        <v>0</v>
      </c>
      <c r="H7" s="21">
        <f t="shared" si="0"/>
        <v>4</v>
      </c>
    </row>
    <row r="8" spans="1:8" ht="31.5" x14ac:dyDescent="0.25">
      <c r="A8" s="13" t="s">
        <v>38</v>
      </c>
      <c r="B8" s="22" t="s">
        <v>39</v>
      </c>
      <c r="C8" s="20" t="b">
        <v>0</v>
      </c>
      <c r="D8" s="20" t="b">
        <v>0</v>
      </c>
      <c r="E8" s="20" t="b">
        <v>1</v>
      </c>
      <c r="F8" s="20" t="b">
        <v>0</v>
      </c>
      <c r="G8" s="20" t="b">
        <v>0</v>
      </c>
      <c r="H8" s="21">
        <f t="shared" si="0"/>
        <v>3</v>
      </c>
    </row>
    <row r="9" spans="1:8" ht="31.5" x14ac:dyDescent="0.25">
      <c r="A9" s="13" t="s">
        <v>40</v>
      </c>
      <c r="B9" s="22" t="s">
        <v>41</v>
      </c>
      <c r="C9" s="20" t="b">
        <v>0</v>
      </c>
      <c r="D9" s="20" t="b">
        <v>0</v>
      </c>
      <c r="E9" s="20" t="b">
        <v>0</v>
      </c>
      <c r="F9" s="20" t="b">
        <v>0</v>
      </c>
      <c r="G9" s="20" t="b">
        <v>1</v>
      </c>
      <c r="H9" s="21">
        <f t="shared" si="0"/>
        <v>5</v>
      </c>
    </row>
    <row r="10" spans="1:8" ht="20.25" x14ac:dyDescent="0.25">
      <c r="A10" s="13"/>
      <c r="B10" s="13" t="s">
        <v>42</v>
      </c>
      <c r="C10" s="20" t="b">
        <v>0</v>
      </c>
      <c r="D10" s="20" t="b">
        <v>0</v>
      </c>
      <c r="E10" s="20" t="b">
        <v>0</v>
      </c>
      <c r="F10" s="20" t="b">
        <v>0</v>
      </c>
      <c r="G10" s="20" t="b">
        <v>0</v>
      </c>
      <c r="H10" s="21">
        <f>IF(C10=TRUE,1,0) + IF(D10=TRUE,2,0) + IF(E10=TRUE,3,0) + IF(F10=TRUE,4,0) + IF(G10=TRUE,5,0)</f>
        <v>0</v>
      </c>
    </row>
    <row r="11" spans="1:8" ht="47.25" x14ac:dyDescent="0.25">
      <c r="A11" s="13" t="s">
        <v>43</v>
      </c>
      <c r="B11" s="22" t="s">
        <v>44</v>
      </c>
      <c r="C11" s="20" t="b">
        <v>0</v>
      </c>
      <c r="D11" s="20" t="b">
        <v>0</v>
      </c>
      <c r="E11" s="20" t="b">
        <v>0</v>
      </c>
      <c r="F11" s="20" t="b">
        <v>1</v>
      </c>
      <c r="G11" s="20" t="b">
        <v>0</v>
      </c>
      <c r="H11" s="21">
        <f t="shared" ref="H11:H18" si="1">IF(C11,1,0) + IF(D11,2,0) + IF(E11,3,0) + IF(F11,4,0) + IF(G11,5,0)</f>
        <v>4</v>
      </c>
    </row>
    <row r="12" spans="1:8" ht="31.5" x14ac:dyDescent="0.25">
      <c r="A12" s="13" t="s">
        <v>45</v>
      </c>
      <c r="B12" s="22" t="s">
        <v>46</v>
      </c>
      <c r="C12" s="20" t="b">
        <v>0</v>
      </c>
      <c r="D12" s="20" t="b">
        <v>0</v>
      </c>
      <c r="E12" s="20" t="b">
        <v>0</v>
      </c>
      <c r="F12" s="20" t="b">
        <v>1</v>
      </c>
      <c r="G12" s="20" t="b">
        <v>0</v>
      </c>
      <c r="H12" s="21">
        <f t="shared" si="1"/>
        <v>4</v>
      </c>
    </row>
    <row r="13" spans="1:8" ht="47.25" x14ac:dyDescent="0.25">
      <c r="A13" s="13" t="s">
        <v>47</v>
      </c>
      <c r="B13" s="22" t="s">
        <v>48</v>
      </c>
      <c r="C13" s="20" t="b">
        <v>0</v>
      </c>
      <c r="D13" s="20" t="b">
        <v>0</v>
      </c>
      <c r="E13" s="20" t="b">
        <v>0</v>
      </c>
      <c r="F13" s="20" t="b">
        <v>1</v>
      </c>
      <c r="G13" s="20" t="b">
        <v>0</v>
      </c>
      <c r="H13" s="21">
        <f t="shared" si="1"/>
        <v>4</v>
      </c>
    </row>
    <row r="14" spans="1:8" ht="31.5" x14ac:dyDescent="0.25">
      <c r="A14" s="13" t="s">
        <v>49</v>
      </c>
      <c r="B14" s="22" t="s">
        <v>50</v>
      </c>
      <c r="C14" s="20" t="b">
        <v>0</v>
      </c>
      <c r="D14" s="20" t="b">
        <v>0</v>
      </c>
      <c r="E14" s="20" t="b">
        <v>0</v>
      </c>
      <c r="F14" s="20" t="b">
        <v>1</v>
      </c>
      <c r="G14" s="20" t="b">
        <v>0</v>
      </c>
      <c r="H14" s="21">
        <f t="shared" si="1"/>
        <v>4</v>
      </c>
    </row>
    <row r="15" spans="1:8" ht="31.5" x14ac:dyDescent="0.25">
      <c r="A15" s="13" t="s">
        <v>51</v>
      </c>
      <c r="B15" s="22" t="s">
        <v>52</v>
      </c>
      <c r="C15" s="20" t="b">
        <v>0</v>
      </c>
      <c r="D15" s="20" t="b">
        <v>0</v>
      </c>
      <c r="E15" s="20" t="b">
        <v>1</v>
      </c>
      <c r="F15" s="20" t="b">
        <v>0</v>
      </c>
      <c r="G15" s="20" t="b">
        <v>0</v>
      </c>
      <c r="H15" s="21">
        <f t="shared" si="1"/>
        <v>3</v>
      </c>
    </row>
    <row r="16" spans="1:8" ht="31.5" x14ac:dyDescent="0.25">
      <c r="A16" s="13" t="s">
        <v>53</v>
      </c>
      <c r="B16" s="22" t="s">
        <v>54</v>
      </c>
      <c r="C16" s="20" t="b">
        <v>0</v>
      </c>
      <c r="D16" s="20" t="b">
        <v>0</v>
      </c>
      <c r="E16" s="20" t="b">
        <v>0</v>
      </c>
      <c r="F16" s="20" t="b">
        <v>1</v>
      </c>
      <c r="G16" s="20" t="b">
        <v>0</v>
      </c>
      <c r="H16" s="21">
        <f t="shared" si="1"/>
        <v>4</v>
      </c>
    </row>
    <row r="17" spans="1:8" ht="31.5" x14ac:dyDescent="0.25">
      <c r="A17" s="13" t="s">
        <v>55</v>
      </c>
      <c r="B17" s="22" t="s">
        <v>56</v>
      </c>
      <c r="C17" s="20" t="b">
        <v>0</v>
      </c>
      <c r="D17" s="20" t="b">
        <v>0</v>
      </c>
      <c r="E17" s="20" t="b">
        <v>0</v>
      </c>
      <c r="F17" s="20" t="b">
        <v>1</v>
      </c>
      <c r="G17" s="20" t="b">
        <v>0</v>
      </c>
      <c r="H17" s="21">
        <f t="shared" si="1"/>
        <v>4</v>
      </c>
    </row>
    <row r="18" spans="1:8" ht="47.25" x14ac:dyDescent="0.25">
      <c r="A18" s="13" t="s">
        <v>57</v>
      </c>
      <c r="B18" s="22" t="s">
        <v>58</v>
      </c>
      <c r="C18" s="20" t="b">
        <v>0</v>
      </c>
      <c r="D18" s="20" t="b">
        <v>0</v>
      </c>
      <c r="E18" s="20" t="b">
        <v>0</v>
      </c>
      <c r="F18" s="20" t="b">
        <v>1</v>
      </c>
      <c r="G18" s="20" t="b">
        <v>0</v>
      </c>
      <c r="H18" s="21">
        <f t="shared" si="1"/>
        <v>4</v>
      </c>
    </row>
    <row r="19" spans="1:8" ht="20.25" x14ac:dyDescent="0.25">
      <c r="A19" s="13"/>
      <c r="B19" s="13" t="s">
        <v>59</v>
      </c>
      <c r="C19" s="20" t="b">
        <v>0</v>
      </c>
      <c r="D19" s="20" t="b">
        <v>0</v>
      </c>
      <c r="E19" s="20" t="b">
        <v>0</v>
      </c>
      <c r="F19" s="20" t="b">
        <v>0</v>
      </c>
      <c r="G19" s="20" t="b">
        <v>0</v>
      </c>
      <c r="H19" s="21">
        <f>IF(C19=TRUE,1,0) + IF(D19=TRUE,2,0) + IF(E19=TRUE,3,0) + IF(F19=TRUE,4,0) + IF(G19=TRUE,5,0)</f>
        <v>0</v>
      </c>
    </row>
    <row r="20" spans="1:8" ht="31.5" x14ac:dyDescent="0.25">
      <c r="A20" s="13" t="s">
        <v>60</v>
      </c>
      <c r="B20" s="22" t="s">
        <v>61</v>
      </c>
      <c r="C20" s="20" t="b">
        <v>0</v>
      </c>
      <c r="D20" s="20" t="b">
        <v>0</v>
      </c>
      <c r="E20" s="20" t="b">
        <v>1</v>
      </c>
      <c r="F20" s="20" t="b">
        <v>0</v>
      </c>
      <c r="G20" s="20" t="b">
        <v>0</v>
      </c>
      <c r="H20" s="21">
        <f>IF(C20,1,0) + IF(D20,2,0) + IF(E20,3,0) + IF(F20,4,0) + IF(G20,5,0)</f>
        <v>3</v>
      </c>
    </row>
    <row r="21" spans="1:8" ht="31.5" x14ac:dyDescent="0.25">
      <c r="A21" s="13" t="s">
        <v>62</v>
      </c>
      <c r="B21" s="22" t="s">
        <v>63</v>
      </c>
      <c r="C21" s="20" t="b">
        <v>0</v>
      </c>
      <c r="D21" s="20" t="b">
        <v>0</v>
      </c>
      <c r="E21" s="20" t="b">
        <v>0</v>
      </c>
      <c r="F21" s="20" t="b">
        <v>1</v>
      </c>
      <c r="G21" s="20" t="b">
        <v>0</v>
      </c>
      <c r="H21" s="21">
        <f>IF(C21,1,0) + IF(D21,2,0) + IF(E21,3,0) + IF(F21,4,0) + IF(G21,5,0)</f>
        <v>4</v>
      </c>
    </row>
    <row r="22" spans="1:8" ht="47.25" x14ac:dyDescent="0.25">
      <c r="A22" s="13" t="s">
        <v>64</v>
      </c>
      <c r="B22" s="22" t="s">
        <v>65</v>
      </c>
      <c r="C22" s="20" t="b">
        <v>0</v>
      </c>
      <c r="D22" s="20" t="b">
        <v>0</v>
      </c>
      <c r="E22" s="20" t="b">
        <v>0</v>
      </c>
      <c r="F22" s="20" t="b">
        <v>0</v>
      </c>
      <c r="G22" s="20" t="b">
        <v>1</v>
      </c>
      <c r="H22" s="21">
        <f>IF(C22,1,0) + IF(D22,2,0) + IF(E22,3,0) + IF(F22,4,0) + IF(G22,5,0)</f>
        <v>5</v>
      </c>
    </row>
    <row r="23" spans="1:8" ht="31.5" x14ac:dyDescent="0.25">
      <c r="A23" s="13" t="s">
        <v>66</v>
      </c>
      <c r="B23" s="22" t="s">
        <v>67</v>
      </c>
      <c r="C23" s="20" t="b">
        <v>0</v>
      </c>
      <c r="D23" s="20" t="b">
        <v>0</v>
      </c>
      <c r="E23" s="20" t="b">
        <v>0</v>
      </c>
      <c r="F23" s="20" t="b">
        <v>1</v>
      </c>
      <c r="G23" s="20" t="b">
        <v>0</v>
      </c>
      <c r="H23" s="21">
        <f>IF(C23,1,0) + IF(D23,2,0) + IF(E23,3,0) + IF(F23,4,0) + IF(G23,5,0)</f>
        <v>4</v>
      </c>
    </row>
    <row r="24" spans="1:8" ht="20.25" x14ac:dyDescent="0.25">
      <c r="A24" s="13"/>
      <c r="B24" s="13" t="s">
        <v>68</v>
      </c>
      <c r="C24" s="20" t="b">
        <v>0</v>
      </c>
      <c r="D24" s="20" t="b">
        <v>0</v>
      </c>
      <c r="E24" s="20" t="b">
        <v>0</v>
      </c>
      <c r="F24" s="20" t="b">
        <v>0</v>
      </c>
      <c r="G24" s="20" t="b">
        <v>0</v>
      </c>
      <c r="H24" s="21">
        <f>IF(C24=TRUE,1,0) + IF(D24=TRUE,2,0) + IF(E24=TRUE,3,0) + IF(F24=TRUE,4,0) + IF(G24=TRUE,5,0)</f>
        <v>0</v>
      </c>
    </row>
    <row r="25" spans="1:8" ht="31.5" x14ac:dyDescent="0.25">
      <c r="A25" s="13" t="s">
        <v>69</v>
      </c>
      <c r="B25" s="22" t="s">
        <v>70</v>
      </c>
      <c r="C25" s="20" t="b">
        <v>0</v>
      </c>
      <c r="D25" s="20" t="b">
        <v>0</v>
      </c>
      <c r="E25" s="20" t="b">
        <v>0</v>
      </c>
      <c r="F25" s="20" t="b">
        <v>1</v>
      </c>
      <c r="G25" s="20" t="b">
        <v>0</v>
      </c>
      <c r="H25" s="21">
        <f t="shared" ref="H25:H32" si="2">IF(C25,1,0) + IF(D25,2,0) + IF(E25,3,0) + IF(F25,4,0) + IF(G25,5,0)</f>
        <v>4</v>
      </c>
    </row>
    <row r="26" spans="1:8" ht="31.5" x14ac:dyDescent="0.25">
      <c r="A26" s="13" t="s">
        <v>71</v>
      </c>
      <c r="B26" s="22" t="s">
        <v>72</v>
      </c>
      <c r="C26" s="20" t="b">
        <v>0</v>
      </c>
      <c r="D26" s="20" t="b">
        <v>0</v>
      </c>
      <c r="E26" s="20" t="b">
        <v>0</v>
      </c>
      <c r="F26" s="20" t="b">
        <v>0</v>
      </c>
      <c r="G26" s="20" t="b">
        <v>1</v>
      </c>
      <c r="H26" s="21">
        <f t="shared" si="2"/>
        <v>5</v>
      </c>
    </row>
    <row r="27" spans="1:8" ht="31.5" x14ac:dyDescent="0.25">
      <c r="A27" s="13" t="s">
        <v>73</v>
      </c>
      <c r="B27" s="22" t="s">
        <v>74</v>
      </c>
      <c r="C27" s="20" t="b">
        <v>0</v>
      </c>
      <c r="D27" s="20" t="b">
        <v>0</v>
      </c>
      <c r="E27" s="20" t="b">
        <v>0</v>
      </c>
      <c r="F27" s="20" t="b">
        <v>1</v>
      </c>
      <c r="G27" s="20" t="b">
        <v>0</v>
      </c>
      <c r="H27" s="21">
        <f t="shared" si="2"/>
        <v>4</v>
      </c>
    </row>
    <row r="28" spans="1:8" ht="31.5" x14ac:dyDescent="0.25">
      <c r="A28" s="13" t="s">
        <v>75</v>
      </c>
      <c r="B28" s="19" t="s">
        <v>76</v>
      </c>
      <c r="C28" s="20" t="b">
        <v>0</v>
      </c>
      <c r="D28" s="20" t="b">
        <v>0</v>
      </c>
      <c r="E28" s="20" t="b">
        <v>0</v>
      </c>
      <c r="F28" s="20" t="b">
        <v>0</v>
      </c>
      <c r="G28" s="20" t="b">
        <v>1</v>
      </c>
      <c r="H28" s="21">
        <f t="shared" si="2"/>
        <v>5</v>
      </c>
    </row>
    <row r="29" spans="1:8" ht="47.25" x14ac:dyDescent="0.25">
      <c r="A29" s="13" t="s">
        <v>77</v>
      </c>
      <c r="B29" s="19" t="s">
        <v>78</v>
      </c>
      <c r="C29" s="20" t="b">
        <v>0</v>
      </c>
      <c r="D29" s="20" t="b">
        <v>0</v>
      </c>
      <c r="E29" s="20" t="b">
        <v>0</v>
      </c>
      <c r="F29" s="20" t="b">
        <v>1</v>
      </c>
      <c r="G29" s="20" t="b">
        <v>0</v>
      </c>
      <c r="H29" s="21">
        <f t="shared" si="2"/>
        <v>4</v>
      </c>
    </row>
    <row r="30" spans="1:8" ht="31.5" x14ac:dyDescent="0.25">
      <c r="A30" s="13" t="s">
        <v>79</v>
      </c>
      <c r="B30" s="22" t="s">
        <v>80</v>
      </c>
      <c r="C30" s="20" t="b">
        <v>0</v>
      </c>
      <c r="D30" s="20" t="b">
        <v>0</v>
      </c>
      <c r="E30" s="20" t="b">
        <v>0</v>
      </c>
      <c r="F30" s="20" t="b">
        <v>1</v>
      </c>
      <c r="G30" s="20" t="b">
        <v>0</v>
      </c>
      <c r="H30" s="21">
        <f t="shared" si="2"/>
        <v>4</v>
      </c>
    </row>
    <row r="31" spans="1:8" ht="31.5" x14ac:dyDescent="0.25">
      <c r="A31" s="13" t="s">
        <v>81</v>
      </c>
      <c r="B31" s="22" t="s">
        <v>82</v>
      </c>
      <c r="C31" s="20" t="b">
        <v>0</v>
      </c>
      <c r="D31" s="20" t="b">
        <v>0</v>
      </c>
      <c r="E31" s="20" t="b">
        <v>0</v>
      </c>
      <c r="F31" s="20" t="b">
        <v>1</v>
      </c>
      <c r="G31" s="20" t="b">
        <v>0</v>
      </c>
      <c r="H31" s="21">
        <f t="shared" si="2"/>
        <v>4</v>
      </c>
    </row>
    <row r="32" spans="1:8" ht="47.25" x14ac:dyDescent="0.25">
      <c r="A32" s="13" t="s">
        <v>83</v>
      </c>
      <c r="B32" s="22" t="s">
        <v>84</v>
      </c>
      <c r="C32" s="20" t="b">
        <v>0</v>
      </c>
      <c r="D32" s="20" t="b">
        <v>0</v>
      </c>
      <c r="E32" s="20" t="b">
        <v>0</v>
      </c>
      <c r="F32" s="20" t="b">
        <v>1</v>
      </c>
      <c r="G32" s="20" t="b">
        <v>0</v>
      </c>
      <c r="H32" s="21">
        <f t="shared" si="2"/>
        <v>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32"/>
  <sheetViews>
    <sheetView workbookViewId="0"/>
  </sheetViews>
  <sheetFormatPr defaultRowHeight="15.75" x14ac:dyDescent="0.25"/>
  <cols>
    <col min="1" max="1" width="18.625" customWidth="1"/>
    <col min="2" max="2" width="54.5" customWidth="1"/>
    <col min="3" max="3" width="8.625" customWidth="1"/>
    <col min="4" max="4" width="10.25" customWidth="1"/>
    <col min="5" max="5" width="8.625" customWidth="1"/>
    <col min="7" max="7" width="8.125" customWidth="1"/>
    <col min="8" max="8" width="14.625" customWidth="1"/>
    <col min="9" max="9" width="8.625" customWidth="1"/>
  </cols>
  <sheetData>
    <row r="1" spans="1:8" ht="40.5" x14ac:dyDescent="0.25">
      <c r="B1" s="13" t="s">
        <v>19</v>
      </c>
      <c r="C1" s="13" t="s">
        <v>20</v>
      </c>
      <c r="D1" s="13" t="s">
        <v>21</v>
      </c>
      <c r="E1" s="13" t="s">
        <v>22</v>
      </c>
      <c r="F1" s="13" t="s">
        <v>23</v>
      </c>
      <c r="G1" s="13" t="s">
        <v>24</v>
      </c>
      <c r="H1" s="14" t="s">
        <v>25</v>
      </c>
    </row>
    <row r="2" spans="1:8" ht="31.5" x14ac:dyDescent="0.25">
      <c r="A2" s="13" t="s">
        <v>26</v>
      </c>
      <c r="B2" s="19" t="s">
        <v>27</v>
      </c>
      <c r="C2" s="20" t="b">
        <v>0</v>
      </c>
      <c r="D2" s="20" t="b">
        <v>0</v>
      </c>
      <c r="E2" s="20" t="b">
        <v>0</v>
      </c>
      <c r="F2" s="20" t="b">
        <v>1</v>
      </c>
      <c r="G2" s="20" t="b">
        <v>0</v>
      </c>
      <c r="H2" s="21">
        <f t="shared" ref="H2:H9" si="0">IF(C2,1,0) + IF(D2,2,0) + IF(E2,3,0) + IF(F2,4,0) + IF(G2,5,0)</f>
        <v>4</v>
      </c>
    </row>
    <row r="3" spans="1:8" ht="31.5" x14ac:dyDescent="0.25">
      <c r="A3" s="13" t="s">
        <v>28</v>
      </c>
      <c r="B3" s="22" t="s">
        <v>29</v>
      </c>
      <c r="C3" s="20" t="b">
        <v>0</v>
      </c>
      <c r="D3" s="20" t="b">
        <v>0</v>
      </c>
      <c r="E3" s="20" t="b">
        <v>0</v>
      </c>
      <c r="F3" s="20" t="b">
        <v>0</v>
      </c>
      <c r="G3" s="20" t="b">
        <v>1</v>
      </c>
      <c r="H3" s="21">
        <f t="shared" si="0"/>
        <v>5</v>
      </c>
    </row>
    <row r="4" spans="1:8" ht="31.5" x14ac:dyDescent="0.25">
      <c r="A4" s="13" t="s">
        <v>30</v>
      </c>
      <c r="B4" s="22" t="s">
        <v>31</v>
      </c>
      <c r="C4" s="20" t="b">
        <v>0</v>
      </c>
      <c r="D4" s="20" t="b">
        <v>0</v>
      </c>
      <c r="E4" s="20" t="b">
        <v>0</v>
      </c>
      <c r="F4" s="20" t="b">
        <v>1</v>
      </c>
      <c r="G4" s="20" t="b">
        <v>0</v>
      </c>
      <c r="H4" s="21">
        <f t="shared" si="0"/>
        <v>4</v>
      </c>
    </row>
    <row r="5" spans="1:8" ht="31.5" x14ac:dyDescent="0.25">
      <c r="A5" s="13" t="s">
        <v>32</v>
      </c>
      <c r="B5" s="22" t="s">
        <v>33</v>
      </c>
      <c r="C5" s="20" t="b">
        <v>0</v>
      </c>
      <c r="D5" s="20" t="b">
        <v>0</v>
      </c>
      <c r="E5" s="20" t="b">
        <v>0</v>
      </c>
      <c r="F5" s="20" t="b">
        <v>1</v>
      </c>
      <c r="G5" s="20" t="b">
        <v>0</v>
      </c>
      <c r="H5" s="21">
        <f t="shared" si="0"/>
        <v>4</v>
      </c>
    </row>
    <row r="6" spans="1:8" ht="31.5" x14ac:dyDescent="0.25">
      <c r="A6" s="13" t="s">
        <v>34</v>
      </c>
      <c r="B6" s="22" t="s">
        <v>35</v>
      </c>
      <c r="C6" s="20" t="b">
        <v>0</v>
      </c>
      <c r="D6" s="20" t="b">
        <v>0</v>
      </c>
      <c r="E6" s="20" t="b">
        <v>0</v>
      </c>
      <c r="F6" s="20" t="b">
        <v>1</v>
      </c>
      <c r="G6" s="20" t="b">
        <v>0</v>
      </c>
      <c r="H6" s="21">
        <f t="shared" si="0"/>
        <v>4</v>
      </c>
    </row>
    <row r="7" spans="1:8" ht="31.5" x14ac:dyDescent="0.25">
      <c r="A7" s="13" t="s">
        <v>36</v>
      </c>
      <c r="B7" s="22" t="s">
        <v>37</v>
      </c>
      <c r="C7" s="20" t="b">
        <v>0</v>
      </c>
      <c r="D7" s="20" t="b">
        <v>0</v>
      </c>
      <c r="E7" s="20" t="b">
        <v>0</v>
      </c>
      <c r="F7" s="20" t="b">
        <v>1</v>
      </c>
      <c r="G7" s="20" t="b">
        <v>0</v>
      </c>
      <c r="H7" s="21">
        <f t="shared" si="0"/>
        <v>4</v>
      </c>
    </row>
    <row r="8" spans="1:8" ht="31.5" x14ac:dyDescent="0.25">
      <c r="A8" s="13" t="s">
        <v>38</v>
      </c>
      <c r="B8" s="22" t="s">
        <v>39</v>
      </c>
      <c r="C8" s="20" t="b">
        <v>0</v>
      </c>
      <c r="D8" s="20" t="b">
        <v>0</v>
      </c>
      <c r="E8" s="20" t="b">
        <v>0</v>
      </c>
      <c r="F8" s="20" t="b">
        <v>1</v>
      </c>
      <c r="G8" s="20" t="b">
        <v>0</v>
      </c>
      <c r="H8" s="21">
        <f t="shared" si="0"/>
        <v>4</v>
      </c>
    </row>
    <row r="9" spans="1:8" ht="31.5" x14ac:dyDescent="0.25">
      <c r="A9" s="13" t="s">
        <v>40</v>
      </c>
      <c r="B9" s="22" t="s">
        <v>41</v>
      </c>
      <c r="C9" s="20" t="b">
        <v>0</v>
      </c>
      <c r="D9" s="20" t="b">
        <v>0</v>
      </c>
      <c r="E9" s="20" t="b">
        <v>0</v>
      </c>
      <c r="F9" s="20" t="b">
        <v>1</v>
      </c>
      <c r="G9" s="20" t="b">
        <v>0</v>
      </c>
      <c r="H9" s="21">
        <f t="shared" si="0"/>
        <v>4</v>
      </c>
    </row>
    <row r="10" spans="1:8" ht="20.25" x14ac:dyDescent="0.25">
      <c r="A10" s="13"/>
      <c r="B10" s="13" t="s">
        <v>42</v>
      </c>
      <c r="C10" s="20" t="b">
        <v>0</v>
      </c>
      <c r="D10" s="20" t="b">
        <v>0</v>
      </c>
      <c r="E10" s="20" t="b">
        <v>0</v>
      </c>
      <c r="F10" s="20" t="b">
        <v>0</v>
      </c>
      <c r="G10" s="20" t="b">
        <v>0</v>
      </c>
      <c r="H10" s="21">
        <f>IF(C10=TRUE,1,0) + IF(D10=TRUE,2,0) + IF(E10=TRUE,3,0) + IF(F10=TRUE,4,0) + IF(G10=TRUE,5,0)</f>
        <v>0</v>
      </c>
    </row>
    <row r="11" spans="1:8" ht="47.25" x14ac:dyDescent="0.25">
      <c r="A11" s="13" t="s">
        <v>43</v>
      </c>
      <c r="B11" s="22" t="s">
        <v>44</v>
      </c>
      <c r="C11" s="20" t="b">
        <v>0</v>
      </c>
      <c r="D11" s="20" t="b">
        <v>0</v>
      </c>
      <c r="E11" s="20" t="b">
        <v>0</v>
      </c>
      <c r="F11" s="20" t="b">
        <v>1</v>
      </c>
      <c r="G11" s="20" t="b">
        <v>0</v>
      </c>
      <c r="H11" s="21">
        <f t="shared" ref="H11:H18" si="1">IF(C11,1,0) + IF(D11,2,0) + IF(E11,3,0) + IF(F11,4,0) + IF(G11,5,0)</f>
        <v>4</v>
      </c>
    </row>
    <row r="12" spans="1:8" ht="31.5" x14ac:dyDescent="0.25">
      <c r="A12" s="13" t="s">
        <v>45</v>
      </c>
      <c r="B12" s="22" t="s">
        <v>46</v>
      </c>
      <c r="C12" s="20" t="b">
        <v>0</v>
      </c>
      <c r="D12" s="20" t="b">
        <v>1</v>
      </c>
      <c r="E12" s="20" t="b">
        <v>0</v>
      </c>
      <c r="F12" s="20" t="b">
        <v>0</v>
      </c>
      <c r="G12" s="20" t="b">
        <v>0</v>
      </c>
      <c r="H12" s="21">
        <f t="shared" si="1"/>
        <v>2</v>
      </c>
    </row>
    <row r="13" spans="1:8" ht="47.25" x14ac:dyDescent="0.25">
      <c r="A13" s="13" t="s">
        <v>47</v>
      </c>
      <c r="B13" s="22" t="s">
        <v>48</v>
      </c>
      <c r="C13" s="20" t="b">
        <v>0</v>
      </c>
      <c r="D13" s="20" t="b">
        <v>0</v>
      </c>
      <c r="E13" s="20" t="b">
        <v>0</v>
      </c>
      <c r="F13" s="20" t="b">
        <v>1</v>
      </c>
      <c r="G13" s="20" t="b">
        <v>0</v>
      </c>
      <c r="H13" s="21">
        <f t="shared" si="1"/>
        <v>4</v>
      </c>
    </row>
    <row r="14" spans="1:8" ht="31.5" x14ac:dyDescent="0.25">
      <c r="A14" s="13" t="s">
        <v>49</v>
      </c>
      <c r="B14" s="22" t="s">
        <v>50</v>
      </c>
      <c r="C14" s="20" t="b">
        <v>0</v>
      </c>
      <c r="D14" s="20" t="b">
        <v>0</v>
      </c>
      <c r="E14" s="20" t="b">
        <v>0</v>
      </c>
      <c r="F14" s="20" t="b">
        <v>1</v>
      </c>
      <c r="G14" s="20" t="b">
        <v>0</v>
      </c>
      <c r="H14" s="21">
        <f t="shared" si="1"/>
        <v>4</v>
      </c>
    </row>
    <row r="15" spans="1:8" ht="31.5" x14ac:dyDescent="0.25">
      <c r="A15" s="13" t="s">
        <v>51</v>
      </c>
      <c r="B15" s="22" t="s">
        <v>52</v>
      </c>
      <c r="C15" s="20" t="b">
        <v>0</v>
      </c>
      <c r="D15" s="20" t="b">
        <v>0</v>
      </c>
      <c r="E15" s="20" t="b">
        <v>0</v>
      </c>
      <c r="F15" s="20" t="b">
        <v>1</v>
      </c>
      <c r="G15" s="20" t="b">
        <v>0</v>
      </c>
      <c r="H15" s="21">
        <f t="shared" si="1"/>
        <v>4</v>
      </c>
    </row>
    <row r="16" spans="1:8" ht="31.5" x14ac:dyDescent="0.25">
      <c r="A16" s="13" t="s">
        <v>53</v>
      </c>
      <c r="B16" s="22" t="s">
        <v>54</v>
      </c>
      <c r="C16" s="20" t="b">
        <v>0</v>
      </c>
      <c r="D16" s="20" t="b">
        <v>0</v>
      </c>
      <c r="E16" s="20" t="b">
        <v>0</v>
      </c>
      <c r="F16" s="20" t="b">
        <v>1</v>
      </c>
      <c r="G16" s="20" t="b">
        <v>0</v>
      </c>
      <c r="H16" s="21">
        <f t="shared" si="1"/>
        <v>4</v>
      </c>
    </row>
    <row r="17" spans="1:8" ht="31.5" x14ac:dyDescent="0.25">
      <c r="A17" s="13" t="s">
        <v>55</v>
      </c>
      <c r="B17" s="22" t="s">
        <v>56</v>
      </c>
      <c r="C17" s="20" t="b">
        <v>0</v>
      </c>
      <c r="D17" s="20" t="b">
        <v>0</v>
      </c>
      <c r="E17" s="20" t="b">
        <v>0</v>
      </c>
      <c r="F17" s="20" t="b">
        <v>1</v>
      </c>
      <c r="G17" s="20" t="b">
        <v>0</v>
      </c>
      <c r="H17" s="21">
        <f t="shared" si="1"/>
        <v>4</v>
      </c>
    </row>
    <row r="18" spans="1:8" ht="47.25" x14ac:dyDescent="0.25">
      <c r="A18" s="13" t="s">
        <v>57</v>
      </c>
      <c r="B18" s="22" t="s">
        <v>58</v>
      </c>
      <c r="C18" s="20" t="b">
        <v>0</v>
      </c>
      <c r="D18" s="20" t="b">
        <v>0</v>
      </c>
      <c r="E18" s="20" t="b">
        <v>0</v>
      </c>
      <c r="F18" s="20" t="b">
        <v>1</v>
      </c>
      <c r="G18" s="20" t="b">
        <v>0</v>
      </c>
      <c r="H18" s="21">
        <f t="shared" si="1"/>
        <v>4</v>
      </c>
    </row>
    <row r="19" spans="1:8" ht="20.25" x14ac:dyDescent="0.25">
      <c r="A19" s="13"/>
      <c r="B19" s="13" t="s">
        <v>59</v>
      </c>
      <c r="C19" s="20" t="b">
        <v>0</v>
      </c>
      <c r="D19" s="20" t="b">
        <v>0</v>
      </c>
      <c r="E19" s="20" t="b">
        <v>0</v>
      </c>
      <c r="F19" s="20" t="b">
        <v>0</v>
      </c>
      <c r="G19" s="20" t="b">
        <v>0</v>
      </c>
      <c r="H19" s="21">
        <f>IF(C19=TRUE,1,0) + IF(D19=TRUE,2,0) + IF(E19=TRUE,3,0) + IF(F19=TRUE,4,0) + IF(G19=TRUE,5,0)</f>
        <v>0</v>
      </c>
    </row>
    <row r="20" spans="1:8" ht="31.5" x14ac:dyDescent="0.25">
      <c r="A20" s="13" t="s">
        <v>60</v>
      </c>
      <c r="B20" s="22" t="s">
        <v>61</v>
      </c>
      <c r="C20" s="20" t="b">
        <v>0</v>
      </c>
      <c r="D20" s="20" t="b">
        <v>0</v>
      </c>
      <c r="E20" s="20" t="b">
        <v>1</v>
      </c>
      <c r="F20" s="20" t="b">
        <v>0</v>
      </c>
      <c r="G20" s="20" t="b">
        <v>0</v>
      </c>
      <c r="H20" s="21">
        <f>IF(C20,1,0) + IF(D20,2,0) + IF(E20,3,0) + IF(F20,4,0) + IF(G20,5,0)</f>
        <v>3</v>
      </c>
    </row>
    <row r="21" spans="1:8" ht="31.5" x14ac:dyDescent="0.25">
      <c r="A21" s="13" t="s">
        <v>62</v>
      </c>
      <c r="B21" s="22" t="s">
        <v>63</v>
      </c>
      <c r="C21" s="20" t="b">
        <v>0</v>
      </c>
      <c r="D21" s="20" t="b">
        <v>0</v>
      </c>
      <c r="E21" s="20" t="b">
        <v>1</v>
      </c>
      <c r="F21" s="20" t="b">
        <v>0</v>
      </c>
      <c r="G21" s="20" t="b">
        <v>0</v>
      </c>
      <c r="H21" s="21">
        <f>IF(C21,1,0) + IF(D21,2,0) + IF(E21,3,0) + IF(F21,4,0) + IF(G21,5,0)</f>
        <v>3</v>
      </c>
    </row>
    <row r="22" spans="1:8" ht="47.25" x14ac:dyDescent="0.25">
      <c r="A22" s="13" t="s">
        <v>64</v>
      </c>
      <c r="B22" s="22" t="s">
        <v>65</v>
      </c>
      <c r="C22" s="20" t="b">
        <v>0</v>
      </c>
      <c r="D22" s="20" t="b">
        <v>0</v>
      </c>
      <c r="E22" s="20" t="b">
        <v>0</v>
      </c>
      <c r="F22" s="20" t="b">
        <v>1</v>
      </c>
      <c r="G22" s="20" t="b">
        <v>0</v>
      </c>
      <c r="H22" s="21">
        <f>IF(C22,1,0) + IF(D22,2,0) + IF(E22,3,0) + IF(F22,4,0) + IF(G22,5,0)</f>
        <v>4</v>
      </c>
    </row>
    <row r="23" spans="1:8" ht="31.5" x14ac:dyDescent="0.25">
      <c r="A23" s="13" t="s">
        <v>66</v>
      </c>
      <c r="B23" s="22" t="s">
        <v>67</v>
      </c>
      <c r="C23" s="20" t="b">
        <v>0</v>
      </c>
      <c r="D23" s="20" t="b">
        <v>0</v>
      </c>
      <c r="E23" s="20" t="b">
        <v>1</v>
      </c>
      <c r="F23" s="20" t="b">
        <v>0</v>
      </c>
      <c r="G23" s="20" t="b">
        <v>0</v>
      </c>
      <c r="H23" s="21">
        <f>IF(C23,1,0) + IF(D23,2,0) + IF(E23,3,0) + IF(F23,4,0) + IF(G23,5,0)</f>
        <v>3</v>
      </c>
    </row>
    <row r="24" spans="1:8" ht="20.25" x14ac:dyDescent="0.25">
      <c r="A24" s="13"/>
      <c r="B24" s="13" t="s">
        <v>68</v>
      </c>
      <c r="C24" s="20" t="b">
        <v>0</v>
      </c>
      <c r="D24" s="20" t="b">
        <v>0</v>
      </c>
      <c r="E24" s="20" t="b">
        <v>0</v>
      </c>
      <c r="F24" s="20" t="b">
        <v>0</v>
      </c>
      <c r="G24" s="20" t="b">
        <v>0</v>
      </c>
      <c r="H24" s="21">
        <f>IF(C24=TRUE,1,0) + IF(D24=TRUE,2,0) + IF(E24=TRUE,3,0) + IF(F24=TRUE,4,0) + IF(G24=TRUE,5,0)</f>
        <v>0</v>
      </c>
    </row>
    <row r="25" spans="1:8" ht="31.5" x14ac:dyDescent="0.25">
      <c r="A25" s="13" t="s">
        <v>69</v>
      </c>
      <c r="B25" s="22" t="s">
        <v>70</v>
      </c>
      <c r="C25" s="20" t="b">
        <v>0</v>
      </c>
      <c r="D25" s="20" t="b">
        <v>0</v>
      </c>
      <c r="E25" s="20" t="b">
        <v>0</v>
      </c>
      <c r="F25" s="20" t="b">
        <v>1</v>
      </c>
      <c r="G25" s="20" t="b">
        <v>0</v>
      </c>
      <c r="H25" s="21">
        <f t="shared" ref="H25:H32" si="2">IF(C25,1,0) + IF(D25,2,0) + IF(E25,3,0) + IF(F25,4,0) + IF(G25,5,0)</f>
        <v>4</v>
      </c>
    </row>
    <row r="26" spans="1:8" ht="31.5" x14ac:dyDescent="0.25">
      <c r="A26" s="13" t="s">
        <v>71</v>
      </c>
      <c r="B26" s="22" t="s">
        <v>72</v>
      </c>
      <c r="C26" s="20" t="b">
        <v>0</v>
      </c>
      <c r="D26" s="20" t="b">
        <v>0</v>
      </c>
      <c r="E26" s="20" t="b">
        <v>0</v>
      </c>
      <c r="F26" s="20" t="b">
        <v>1</v>
      </c>
      <c r="G26" s="20" t="b">
        <v>0</v>
      </c>
      <c r="H26" s="21">
        <f t="shared" si="2"/>
        <v>4</v>
      </c>
    </row>
    <row r="27" spans="1:8" ht="31.5" x14ac:dyDescent="0.25">
      <c r="A27" s="13" t="s">
        <v>73</v>
      </c>
      <c r="B27" s="22" t="s">
        <v>74</v>
      </c>
      <c r="C27" s="20" t="b">
        <v>0</v>
      </c>
      <c r="D27" s="20" t="b">
        <v>0</v>
      </c>
      <c r="E27" s="20" t="b">
        <v>0</v>
      </c>
      <c r="F27" s="20" t="b">
        <v>1</v>
      </c>
      <c r="G27" s="20" t="b">
        <v>0</v>
      </c>
      <c r="H27" s="21">
        <f t="shared" si="2"/>
        <v>4</v>
      </c>
    </row>
    <row r="28" spans="1:8" ht="31.5" x14ac:dyDescent="0.25">
      <c r="A28" s="13" t="s">
        <v>75</v>
      </c>
      <c r="B28" s="19" t="s">
        <v>76</v>
      </c>
      <c r="C28" s="20" t="b">
        <v>0</v>
      </c>
      <c r="D28" s="20" t="b">
        <v>1</v>
      </c>
      <c r="E28" s="20" t="b">
        <v>0</v>
      </c>
      <c r="F28" s="20" t="b">
        <v>0</v>
      </c>
      <c r="G28" s="20" t="b">
        <v>0</v>
      </c>
      <c r="H28" s="21">
        <f t="shared" si="2"/>
        <v>2</v>
      </c>
    </row>
    <row r="29" spans="1:8" ht="47.25" x14ac:dyDescent="0.25">
      <c r="A29" s="13" t="s">
        <v>77</v>
      </c>
      <c r="B29" s="19" t="s">
        <v>78</v>
      </c>
      <c r="C29" s="20" t="b">
        <v>0</v>
      </c>
      <c r="D29" s="20" t="b">
        <v>0</v>
      </c>
      <c r="E29" s="20" t="b">
        <v>1</v>
      </c>
      <c r="F29" s="20" t="b">
        <v>0</v>
      </c>
      <c r="G29" s="20" t="b">
        <v>0</v>
      </c>
      <c r="H29" s="21">
        <f t="shared" si="2"/>
        <v>3</v>
      </c>
    </row>
    <row r="30" spans="1:8" ht="31.5" x14ac:dyDescent="0.25">
      <c r="A30" s="13" t="s">
        <v>79</v>
      </c>
      <c r="B30" s="22" t="s">
        <v>80</v>
      </c>
      <c r="C30" s="20" t="b">
        <v>0</v>
      </c>
      <c r="D30" s="20" t="b">
        <v>0</v>
      </c>
      <c r="E30" s="20" t="b">
        <v>0</v>
      </c>
      <c r="F30" s="20" t="b">
        <v>1</v>
      </c>
      <c r="G30" s="20" t="b">
        <v>0</v>
      </c>
      <c r="H30" s="21">
        <f t="shared" si="2"/>
        <v>4</v>
      </c>
    </row>
    <row r="31" spans="1:8" ht="31.5" x14ac:dyDescent="0.25">
      <c r="A31" s="13" t="s">
        <v>81</v>
      </c>
      <c r="B31" s="22" t="s">
        <v>82</v>
      </c>
      <c r="C31" s="20" t="b">
        <v>0</v>
      </c>
      <c r="D31" s="20" t="b">
        <v>0</v>
      </c>
      <c r="E31" s="20" t="b">
        <v>0</v>
      </c>
      <c r="F31" s="20" t="b">
        <v>1</v>
      </c>
      <c r="G31" s="20" t="b">
        <v>0</v>
      </c>
      <c r="H31" s="21">
        <f t="shared" si="2"/>
        <v>4</v>
      </c>
    </row>
    <row r="32" spans="1:8" ht="47.25" x14ac:dyDescent="0.25">
      <c r="A32" s="13" t="s">
        <v>83</v>
      </c>
      <c r="B32" s="22" t="s">
        <v>84</v>
      </c>
      <c r="C32" s="20" t="b">
        <v>0</v>
      </c>
      <c r="D32" s="20" t="b">
        <v>0</v>
      </c>
      <c r="E32" s="20" t="b">
        <v>0</v>
      </c>
      <c r="F32" s="20" t="b">
        <v>1</v>
      </c>
      <c r="G32" s="20" t="b">
        <v>0</v>
      </c>
      <c r="H32" s="21">
        <f t="shared" si="2"/>
        <v>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32"/>
  <sheetViews>
    <sheetView workbookViewId="0"/>
  </sheetViews>
  <sheetFormatPr defaultRowHeight="15.75" x14ac:dyDescent="0.25"/>
  <cols>
    <col min="1" max="1" width="18.625" customWidth="1"/>
    <col min="2" max="2" width="54.5" customWidth="1"/>
    <col min="3" max="3" width="8.625" customWidth="1"/>
    <col min="4" max="4" width="10.25" customWidth="1"/>
    <col min="5" max="5" width="8.625" customWidth="1"/>
    <col min="7" max="7" width="8.125" customWidth="1"/>
    <col min="8" max="8" width="14.625" customWidth="1"/>
    <col min="9" max="9" width="8.625" customWidth="1"/>
  </cols>
  <sheetData>
    <row r="1" spans="1:8" ht="40.5" x14ac:dyDescent="0.25">
      <c r="B1" s="13" t="s">
        <v>19</v>
      </c>
      <c r="C1" s="13" t="s">
        <v>20</v>
      </c>
      <c r="D1" s="13" t="s">
        <v>21</v>
      </c>
      <c r="E1" s="13" t="s">
        <v>22</v>
      </c>
      <c r="F1" s="13" t="s">
        <v>23</v>
      </c>
      <c r="G1" s="13" t="s">
        <v>24</v>
      </c>
      <c r="H1" s="14" t="s">
        <v>25</v>
      </c>
    </row>
    <row r="2" spans="1:8" ht="31.5" x14ac:dyDescent="0.25">
      <c r="A2" s="13" t="s">
        <v>26</v>
      </c>
      <c r="B2" s="19" t="s">
        <v>27</v>
      </c>
      <c r="C2" s="20" t="b">
        <v>0</v>
      </c>
      <c r="D2" s="20" t="b">
        <v>0</v>
      </c>
      <c r="E2" s="20" t="b">
        <v>0</v>
      </c>
      <c r="F2" s="20" t="b">
        <v>1</v>
      </c>
      <c r="G2" s="20" t="b">
        <v>0</v>
      </c>
      <c r="H2" s="21">
        <f t="shared" ref="H2:H9" si="0">IF(C2,1,0) + IF(D2,2,0) + IF(E2,3,0) + IF(F2,4,0) + IF(G2,5,0)</f>
        <v>4</v>
      </c>
    </row>
    <row r="3" spans="1:8" ht="31.5" x14ac:dyDescent="0.25">
      <c r="A3" s="13" t="s">
        <v>28</v>
      </c>
      <c r="B3" s="22" t="s">
        <v>29</v>
      </c>
      <c r="C3" s="20" t="b">
        <v>0</v>
      </c>
      <c r="D3" s="20" t="b">
        <v>0</v>
      </c>
      <c r="E3" s="20" t="b">
        <v>0</v>
      </c>
      <c r="F3" s="20" t="b">
        <v>1</v>
      </c>
      <c r="G3" s="20" t="b">
        <v>0</v>
      </c>
      <c r="H3" s="21">
        <f t="shared" si="0"/>
        <v>4</v>
      </c>
    </row>
    <row r="4" spans="1:8" ht="31.5" x14ac:dyDescent="0.25">
      <c r="A4" s="13" t="s">
        <v>30</v>
      </c>
      <c r="B4" s="22" t="s">
        <v>31</v>
      </c>
      <c r="C4" s="20" t="b">
        <v>0</v>
      </c>
      <c r="D4" s="20" t="b">
        <v>0</v>
      </c>
      <c r="E4" s="20" t="b">
        <v>0</v>
      </c>
      <c r="F4" s="20" t="b">
        <v>1</v>
      </c>
      <c r="G4" s="20" t="b">
        <v>0</v>
      </c>
      <c r="H4" s="21">
        <f t="shared" si="0"/>
        <v>4</v>
      </c>
    </row>
    <row r="5" spans="1:8" ht="31.5" x14ac:dyDescent="0.25">
      <c r="A5" s="13" t="s">
        <v>32</v>
      </c>
      <c r="B5" s="22" t="s">
        <v>33</v>
      </c>
      <c r="C5" s="20" t="b">
        <v>0</v>
      </c>
      <c r="D5" s="20" t="b">
        <v>0</v>
      </c>
      <c r="E5" s="20" t="b">
        <v>0</v>
      </c>
      <c r="F5" s="20" t="b">
        <v>1</v>
      </c>
      <c r="G5" s="20" t="b">
        <v>0</v>
      </c>
      <c r="H5" s="21">
        <f t="shared" si="0"/>
        <v>4</v>
      </c>
    </row>
    <row r="6" spans="1:8" ht="31.5" x14ac:dyDescent="0.25">
      <c r="A6" s="13" t="s">
        <v>34</v>
      </c>
      <c r="B6" s="22" t="s">
        <v>35</v>
      </c>
      <c r="C6" s="20" t="b">
        <v>0</v>
      </c>
      <c r="D6" s="20" t="b">
        <v>0</v>
      </c>
      <c r="E6" s="20" t="b">
        <v>0</v>
      </c>
      <c r="F6" s="20" t="b">
        <v>1</v>
      </c>
      <c r="G6" s="20" t="b">
        <v>0</v>
      </c>
      <c r="H6" s="21">
        <f t="shared" si="0"/>
        <v>4</v>
      </c>
    </row>
    <row r="7" spans="1:8" ht="31.5" x14ac:dyDescent="0.25">
      <c r="A7" s="13" t="s">
        <v>36</v>
      </c>
      <c r="B7" s="22" t="s">
        <v>37</v>
      </c>
      <c r="C7" s="20" t="b">
        <v>0</v>
      </c>
      <c r="D7" s="20" t="b">
        <v>0</v>
      </c>
      <c r="E7" s="20" t="b">
        <v>0</v>
      </c>
      <c r="F7" s="20" t="b">
        <v>1</v>
      </c>
      <c r="G7" s="20" t="b">
        <v>0</v>
      </c>
      <c r="H7" s="21">
        <f t="shared" si="0"/>
        <v>4</v>
      </c>
    </row>
    <row r="8" spans="1:8" ht="31.5" x14ac:dyDescent="0.25">
      <c r="A8" s="13" t="s">
        <v>38</v>
      </c>
      <c r="B8" s="22" t="s">
        <v>39</v>
      </c>
      <c r="C8" s="20" t="b">
        <v>0</v>
      </c>
      <c r="D8" s="20" t="b">
        <v>0</v>
      </c>
      <c r="E8" s="20" t="b">
        <v>0</v>
      </c>
      <c r="F8" s="20" t="b">
        <v>0</v>
      </c>
      <c r="G8" s="20" t="b">
        <v>1</v>
      </c>
      <c r="H8" s="21">
        <f t="shared" si="0"/>
        <v>5</v>
      </c>
    </row>
    <row r="9" spans="1:8" ht="31.5" x14ac:dyDescent="0.25">
      <c r="A9" s="13" t="s">
        <v>40</v>
      </c>
      <c r="B9" s="22" t="s">
        <v>41</v>
      </c>
      <c r="C9" s="20" t="b">
        <v>0</v>
      </c>
      <c r="D9" s="20" t="b">
        <v>0</v>
      </c>
      <c r="E9" s="20" t="b">
        <v>0</v>
      </c>
      <c r="F9" s="20" t="b">
        <v>1</v>
      </c>
      <c r="G9" s="20" t="b">
        <v>0</v>
      </c>
      <c r="H9" s="21">
        <f t="shared" si="0"/>
        <v>4</v>
      </c>
    </row>
    <row r="10" spans="1:8" ht="20.25" x14ac:dyDescent="0.25">
      <c r="A10" s="13"/>
      <c r="B10" s="13" t="s">
        <v>42</v>
      </c>
      <c r="C10" s="20" t="b">
        <v>0</v>
      </c>
      <c r="D10" s="20" t="b">
        <v>0</v>
      </c>
      <c r="E10" s="20" t="b">
        <v>0</v>
      </c>
      <c r="F10" s="20" t="b">
        <v>0</v>
      </c>
      <c r="G10" s="20" t="b">
        <v>0</v>
      </c>
      <c r="H10" s="21">
        <f>IF(C10=TRUE,1,0) + IF(D10=TRUE,2,0) + IF(E10=TRUE,3,0) + IF(F10=TRUE,4,0) + IF(G10=TRUE,5,0)</f>
        <v>0</v>
      </c>
    </row>
    <row r="11" spans="1:8" ht="47.25" x14ac:dyDescent="0.25">
      <c r="A11" s="13" t="s">
        <v>43</v>
      </c>
      <c r="B11" s="22" t="s">
        <v>44</v>
      </c>
      <c r="C11" s="20" t="b">
        <v>0</v>
      </c>
      <c r="D11" s="20" t="b">
        <v>0</v>
      </c>
      <c r="E11" s="20" t="b">
        <v>0</v>
      </c>
      <c r="F11" s="20" t="b">
        <v>0</v>
      </c>
      <c r="G11" s="20" t="b">
        <v>1</v>
      </c>
      <c r="H11" s="21">
        <f t="shared" ref="H11:H18" si="1">IF(C11,1,0) + IF(D11,2,0) + IF(E11,3,0) + IF(F11,4,0) + IF(G11,5,0)</f>
        <v>5</v>
      </c>
    </row>
    <row r="12" spans="1:8" ht="31.5" x14ac:dyDescent="0.25">
      <c r="A12" s="13" t="s">
        <v>45</v>
      </c>
      <c r="B12" s="22" t="s">
        <v>46</v>
      </c>
      <c r="C12" s="20" t="b">
        <v>0</v>
      </c>
      <c r="D12" s="20" t="b">
        <v>0</v>
      </c>
      <c r="E12" s="20" t="b">
        <v>0</v>
      </c>
      <c r="F12" s="20" t="b">
        <v>0</v>
      </c>
      <c r="G12" s="20" t="b">
        <v>1</v>
      </c>
      <c r="H12" s="21">
        <f t="shared" si="1"/>
        <v>5</v>
      </c>
    </row>
    <row r="13" spans="1:8" ht="47.25" x14ac:dyDescent="0.25">
      <c r="A13" s="13" t="s">
        <v>47</v>
      </c>
      <c r="B13" s="22" t="s">
        <v>48</v>
      </c>
      <c r="C13" s="20" t="b">
        <v>0</v>
      </c>
      <c r="D13" s="20" t="b">
        <v>0</v>
      </c>
      <c r="E13" s="20" t="b">
        <v>1</v>
      </c>
      <c r="F13" s="20" t="b">
        <v>0</v>
      </c>
      <c r="G13" s="20" t="b">
        <v>0</v>
      </c>
      <c r="H13" s="21">
        <f t="shared" si="1"/>
        <v>3</v>
      </c>
    </row>
    <row r="14" spans="1:8" ht="31.5" x14ac:dyDescent="0.25">
      <c r="A14" s="13" t="s">
        <v>49</v>
      </c>
      <c r="B14" s="22" t="s">
        <v>50</v>
      </c>
      <c r="C14" s="20" t="b">
        <v>0</v>
      </c>
      <c r="D14" s="20" t="b">
        <v>0</v>
      </c>
      <c r="E14" s="20" t="b">
        <v>0</v>
      </c>
      <c r="F14" s="20" t="b">
        <v>0</v>
      </c>
      <c r="G14" s="20" t="b">
        <v>1</v>
      </c>
      <c r="H14" s="21">
        <f t="shared" si="1"/>
        <v>5</v>
      </c>
    </row>
    <row r="15" spans="1:8" ht="31.5" x14ac:dyDescent="0.25">
      <c r="A15" s="13" t="s">
        <v>51</v>
      </c>
      <c r="B15" s="22" t="s">
        <v>52</v>
      </c>
      <c r="C15" s="20" t="b">
        <v>0</v>
      </c>
      <c r="D15" s="20" t="b">
        <v>0</v>
      </c>
      <c r="E15" s="20" t="b">
        <v>0</v>
      </c>
      <c r="F15" s="20" t="b">
        <v>1</v>
      </c>
      <c r="G15" s="20" t="b">
        <v>0</v>
      </c>
      <c r="H15" s="21">
        <f t="shared" si="1"/>
        <v>4</v>
      </c>
    </row>
    <row r="16" spans="1:8" ht="31.5" x14ac:dyDescent="0.25">
      <c r="A16" s="13" t="s">
        <v>53</v>
      </c>
      <c r="B16" s="22" t="s">
        <v>54</v>
      </c>
      <c r="C16" s="20" t="b">
        <v>0</v>
      </c>
      <c r="D16" s="20" t="b">
        <v>1</v>
      </c>
      <c r="E16" s="20" t="b">
        <v>0</v>
      </c>
      <c r="F16" s="20" t="b">
        <v>0</v>
      </c>
      <c r="G16" s="20" t="b">
        <v>0</v>
      </c>
      <c r="H16" s="21">
        <f t="shared" si="1"/>
        <v>2</v>
      </c>
    </row>
    <row r="17" spans="1:8" ht="31.5" x14ac:dyDescent="0.25">
      <c r="A17" s="13" t="s">
        <v>55</v>
      </c>
      <c r="B17" s="22" t="s">
        <v>56</v>
      </c>
      <c r="C17" s="20" t="b">
        <v>0</v>
      </c>
      <c r="D17" s="20" t="b">
        <v>0</v>
      </c>
      <c r="E17" s="20" t="b">
        <v>1</v>
      </c>
      <c r="F17" s="20" t="b">
        <v>0</v>
      </c>
      <c r="G17" s="20" t="b">
        <v>0</v>
      </c>
      <c r="H17" s="21">
        <f t="shared" si="1"/>
        <v>3</v>
      </c>
    </row>
    <row r="18" spans="1:8" ht="47.25" x14ac:dyDescent="0.25">
      <c r="A18" s="13" t="s">
        <v>57</v>
      </c>
      <c r="B18" s="22" t="s">
        <v>58</v>
      </c>
      <c r="C18" s="20" t="b">
        <v>0</v>
      </c>
      <c r="D18" s="20" t="b">
        <v>0</v>
      </c>
      <c r="E18" s="20" t="b">
        <v>0</v>
      </c>
      <c r="F18" s="20" t="b">
        <v>0</v>
      </c>
      <c r="G18" s="20" t="b">
        <v>1</v>
      </c>
      <c r="H18" s="21">
        <f t="shared" si="1"/>
        <v>5</v>
      </c>
    </row>
    <row r="19" spans="1:8" ht="20.25" x14ac:dyDescent="0.25">
      <c r="A19" s="13"/>
      <c r="B19" s="13" t="s">
        <v>59</v>
      </c>
      <c r="C19" s="20" t="b">
        <v>0</v>
      </c>
      <c r="D19" s="20" t="b">
        <v>0</v>
      </c>
      <c r="E19" s="20" t="b">
        <v>0</v>
      </c>
      <c r="F19" s="20" t="b">
        <v>0</v>
      </c>
      <c r="G19" s="20" t="b">
        <v>0</v>
      </c>
      <c r="H19" s="21">
        <f>IF(C19=TRUE,1,0) + IF(D19=TRUE,2,0) + IF(E19=TRUE,3,0) + IF(F19=TRUE,4,0) + IF(G19=TRUE,5,0)</f>
        <v>0</v>
      </c>
    </row>
    <row r="20" spans="1:8" ht="31.5" x14ac:dyDescent="0.25">
      <c r="A20" s="13" t="s">
        <v>60</v>
      </c>
      <c r="B20" s="22" t="s">
        <v>61</v>
      </c>
      <c r="C20" s="20" t="b">
        <v>0</v>
      </c>
      <c r="D20" s="20" t="b">
        <v>0</v>
      </c>
      <c r="E20" s="20" t="b">
        <v>0</v>
      </c>
      <c r="F20" s="20" t="b">
        <v>0</v>
      </c>
      <c r="G20" s="20" t="b">
        <v>1</v>
      </c>
      <c r="H20" s="21">
        <f>IF(C20,1,0) + IF(D20,2,0) + IF(E20,3,0) + IF(F20,4,0) + IF(G20,5,0)</f>
        <v>5</v>
      </c>
    </row>
    <row r="21" spans="1:8" ht="31.5" x14ac:dyDescent="0.25">
      <c r="A21" s="13" t="s">
        <v>62</v>
      </c>
      <c r="B21" s="22" t="s">
        <v>63</v>
      </c>
      <c r="C21" s="20" t="b">
        <v>0</v>
      </c>
      <c r="D21" s="20" t="b">
        <v>0</v>
      </c>
      <c r="E21" s="20" t="b">
        <v>1</v>
      </c>
      <c r="F21" s="20" t="b">
        <v>0</v>
      </c>
      <c r="G21" s="20" t="b">
        <v>0</v>
      </c>
      <c r="H21" s="21">
        <f>IF(C21,1,0) + IF(D21,2,0) + IF(E21,3,0) + IF(F21,4,0) + IF(G21,5,0)</f>
        <v>3</v>
      </c>
    </row>
    <row r="22" spans="1:8" ht="47.25" x14ac:dyDescent="0.25">
      <c r="A22" s="13" t="s">
        <v>64</v>
      </c>
      <c r="B22" s="22" t="s">
        <v>65</v>
      </c>
      <c r="C22" s="20" t="b">
        <v>0</v>
      </c>
      <c r="D22" s="20" t="b">
        <v>0</v>
      </c>
      <c r="E22" s="20" t="b">
        <v>1</v>
      </c>
      <c r="F22" s="20" t="b">
        <v>0</v>
      </c>
      <c r="G22" s="20" t="b">
        <v>0</v>
      </c>
      <c r="H22" s="21">
        <f>IF(C22,1,0) + IF(D22,2,0) + IF(E22,3,0) + IF(F22,4,0) + IF(G22,5,0)</f>
        <v>3</v>
      </c>
    </row>
    <row r="23" spans="1:8" ht="31.5" x14ac:dyDescent="0.25">
      <c r="A23" s="13" t="s">
        <v>66</v>
      </c>
      <c r="B23" s="22" t="s">
        <v>67</v>
      </c>
      <c r="C23" s="20" t="b">
        <v>0</v>
      </c>
      <c r="D23" s="20" t="b">
        <v>0</v>
      </c>
      <c r="E23" s="20" t="b">
        <v>1</v>
      </c>
      <c r="F23" s="20" t="b">
        <v>0</v>
      </c>
      <c r="G23" s="20" t="b">
        <v>0</v>
      </c>
      <c r="H23" s="21">
        <f>IF(C23,1,0) + IF(D23,2,0) + IF(E23,3,0) + IF(F23,4,0) + IF(G23,5,0)</f>
        <v>3</v>
      </c>
    </row>
    <row r="24" spans="1:8" ht="20.25" x14ac:dyDescent="0.25">
      <c r="A24" s="13"/>
      <c r="B24" s="13" t="s">
        <v>68</v>
      </c>
      <c r="C24" s="20" t="b">
        <v>0</v>
      </c>
      <c r="D24" s="20" t="b">
        <v>0</v>
      </c>
      <c r="E24" s="20" t="b">
        <v>0</v>
      </c>
      <c r="F24" s="20" t="b">
        <v>0</v>
      </c>
      <c r="G24" s="20" t="b">
        <v>0</v>
      </c>
      <c r="H24" s="21">
        <f>IF(C24=TRUE,1,0) + IF(D24=TRUE,2,0) + IF(E24=TRUE,3,0) + IF(F24=TRUE,4,0) + IF(G24=TRUE,5,0)</f>
        <v>0</v>
      </c>
    </row>
    <row r="25" spans="1:8" ht="31.5" x14ac:dyDescent="0.25">
      <c r="A25" s="13" t="s">
        <v>69</v>
      </c>
      <c r="B25" s="22" t="s">
        <v>70</v>
      </c>
      <c r="C25" s="20" t="b">
        <v>0</v>
      </c>
      <c r="D25" s="20" t="b">
        <v>0</v>
      </c>
      <c r="E25" s="20" t="b">
        <v>0</v>
      </c>
      <c r="F25" s="20" t="b">
        <v>1</v>
      </c>
      <c r="G25" s="20" t="b">
        <v>0</v>
      </c>
      <c r="H25" s="21">
        <f t="shared" ref="H25:H32" si="2">IF(C25,1,0) + IF(D25,2,0) + IF(E25,3,0) + IF(F25,4,0) + IF(G25,5,0)</f>
        <v>4</v>
      </c>
    </row>
    <row r="26" spans="1:8" ht="31.5" x14ac:dyDescent="0.25">
      <c r="A26" s="13" t="s">
        <v>71</v>
      </c>
      <c r="B26" s="22" t="s">
        <v>72</v>
      </c>
      <c r="C26" s="20" t="b">
        <v>0</v>
      </c>
      <c r="D26" s="20" t="b">
        <v>0</v>
      </c>
      <c r="E26" s="20" t="b">
        <v>0</v>
      </c>
      <c r="F26" s="20" t="b">
        <v>0</v>
      </c>
      <c r="G26" s="20" t="b">
        <v>1</v>
      </c>
      <c r="H26" s="21">
        <f t="shared" si="2"/>
        <v>5</v>
      </c>
    </row>
    <row r="27" spans="1:8" ht="31.5" x14ac:dyDescent="0.25">
      <c r="A27" s="13" t="s">
        <v>73</v>
      </c>
      <c r="B27" s="22" t="s">
        <v>74</v>
      </c>
      <c r="C27" s="20" t="b">
        <v>0</v>
      </c>
      <c r="D27" s="20" t="b">
        <v>0</v>
      </c>
      <c r="E27" s="20" t="b">
        <v>1</v>
      </c>
      <c r="F27" s="20" t="b">
        <v>0</v>
      </c>
      <c r="G27" s="20" t="b">
        <v>0</v>
      </c>
      <c r="H27" s="21">
        <f t="shared" si="2"/>
        <v>3</v>
      </c>
    </row>
    <row r="28" spans="1:8" ht="31.5" x14ac:dyDescent="0.25">
      <c r="A28" s="13" t="s">
        <v>75</v>
      </c>
      <c r="B28" s="19" t="s">
        <v>76</v>
      </c>
      <c r="C28" s="20" t="b">
        <v>0</v>
      </c>
      <c r="D28" s="20" t="b">
        <v>0</v>
      </c>
      <c r="E28" s="20" t="b">
        <v>0</v>
      </c>
      <c r="F28" s="20" t="b">
        <v>1</v>
      </c>
      <c r="G28" s="20" t="b">
        <v>0</v>
      </c>
      <c r="H28" s="21">
        <f t="shared" si="2"/>
        <v>4</v>
      </c>
    </row>
    <row r="29" spans="1:8" ht="47.25" x14ac:dyDescent="0.25">
      <c r="A29" s="13" t="s">
        <v>77</v>
      </c>
      <c r="B29" s="19" t="s">
        <v>78</v>
      </c>
      <c r="C29" s="20" t="b">
        <v>0</v>
      </c>
      <c r="D29" s="20" t="b">
        <v>0</v>
      </c>
      <c r="E29" s="20" t="b">
        <v>0</v>
      </c>
      <c r="F29" s="20" t="b">
        <v>0</v>
      </c>
      <c r="G29" s="20" t="b">
        <v>1</v>
      </c>
      <c r="H29" s="21">
        <f t="shared" si="2"/>
        <v>5</v>
      </c>
    </row>
    <row r="30" spans="1:8" ht="31.5" x14ac:dyDescent="0.25">
      <c r="A30" s="13" t="s">
        <v>79</v>
      </c>
      <c r="B30" s="22" t="s">
        <v>80</v>
      </c>
      <c r="C30" s="20" t="b">
        <v>0</v>
      </c>
      <c r="D30" s="20" t="b">
        <v>0</v>
      </c>
      <c r="E30" s="20" t="b">
        <v>0</v>
      </c>
      <c r="F30" s="20" t="b">
        <v>1</v>
      </c>
      <c r="G30" s="20" t="b">
        <v>0</v>
      </c>
      <c r="H30" s="21">
        <f t="shared" si="2"/>
        <v>4</v>
      </c>
    </row>
    <row r="31" spans="1:8" ht="31.5" x14ac:dyDescent="0.25">
      <c r="A31" s="13" t="s">
        <v>81</v>
      </c>
      <c r="B31" s="22" t="s">
        <v>82</v>
      </c>
      <c r="C31" s="20" t="b">
        <v>0</v>
      </c>
      <c r="D31" s="20" t="b">
        <v>0</v>
      </c>
      <c r="E31" s="20" t="b">
        <v>0</v>
      </c>
      <c r="F31" s="20" t="b">
        <v>1</v>
      </c>
      <c r="G31" s="20" t="b">
        <v>0</v>
      </c>
      <c r="H31" s="21">
        <f t="shared" si="2"/>
        <v>4</v>
      </c>
    </row>
    <row r="32" spans="1:8" ht="47.25" x14ac:dyDescent="0.25">
      <c r="A32" s="13" t="s">
        <v>83</v>
      </c>
      <c r="B32" s="22" t="s">
        <v>84</v>
      </c>
      <c r="C32" s="20" t="b">
        <v>0</v>
      </c>
      <c r="D32" s="20" t="b">
        <v>0</v>
      </c>
      <c r="E32" s="20" t="b">
        <v>0</v>
      </c>
      <c r="F32" s="20" t="b">
        <v>1</v>
      </c>
      <c r="G32" s="20" t="b">
        <v>0</v>
      </c>
      <c r="H32" s="21">
        <f t="shared" si="2"/>
        <v>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32"/>
  <sheetViews>
    <sheetView workbookViewId="0"/>
  </sheetViews>
  <sheetFormatPr defaultRowHeight="15.75" x14ac:dyDescent="0.25"/>
  <cols>
    <col min="1" max="1" width="18.625" customWidth="1"/>
    <col min="2" max="2" width="54.5" customWidth="1"/>
    <col min="3" max="3" width="8.625" customWidth="1"/>
    <col min="4" max="4" width="10.25" customWidth="1"/>
    <col min="5" max="5" width="8.625" customWidth="1"/>
    <col min="7" max="7" width="8.125" customWidth="1"/>
    <col min="8" max="8" width="14.625" customWidth="1"/>
    <col min="9" max="9" width="8.625" customWidth="1"/>
  </cols>
  <sheetData>
    <row r="1" spans="1:8" ht="40.5" x14ac:dyDescent="0.25">
      <c r="B1" s="13" t="s">
        <v>19</v>
      </c>
      <c r="C1" s="13" t="s">
        <v>20</v>
      </c>
      <c r="D1" s="13" t="s">
        <v>21</v>
      </c>
      <c r="E1" s="13" t="s">
        <v>22</v>
      </c>
      <c r="F1" s="13" t="s">
        <v>23</v>
      </c>
      <c r="G1" s="13" t="s">
        <v>24</v>
      </c>
      <c r="H1" s="14" t="s">
        <v>25</v>
      </c>
    </row>
    <row r="2" spans="1:8" ht="31.5" x14ac:dyDescent="0.25">
      <c r="A2" s="13" t="s">
        <v>26</v>
      </c>
      <c r="B2" s="19" t="s">
        <v>27</v>
      </c>
      <c r="C2" s="20" t="b">
        <v>0</v>
      </c>
      <c r="D2" s="20" t="b">
        <v>0</v>
      </c>
      <c r="E2" s="20" t="b">
        <v>0</v>
      </c>
      <c r="F2" s="20" t="b">
        <v>1</v>
      </c>
      <c r="G2" s="20" t="b">
        <v>0</v>
      </c>
      <c r="H2" s="21">
        <f t="shared" ref="H2:H9" si="0">IF(C2,1,0) + IF(D2,2,0) + IF(E2,3,0) + IF(F2,4,0) + IF(G2,5,0)</f>
        <v>4</v>
      </c>
    </row>
    <row r="3" spans="1:8" ht="31.5" x14ac:dyDescent="0.25">
      <c r="A3" s="13" t="s">
        <v>28</v>
      </c>
      <c r="B3" s="22" t="s">
        <v>29</v>
      </c>
      <c r="C3" s="20" t="b">
        <v>0</v>
      </c>
      <c r="D3" s="20" t="b">
        <v>0</v>
      </c>
      <c r="E3" s="20" t="b">
        <v>0</v>
      </c>
      <c r="F3" s="20" t="b">
        <v>1</v>
      </c>
      <c r="G3" s="20" t="b">
        <v>0</v>
      </c>
      <c r="H3" s="21">
        <f t="shared" si="0"/>
        <v>4</v>
      </c>
    </row>
    <row r="4" spans="1:8" ht="31.5" x14ac:dyDescent="0.25">
      <c r="A4" s="13" t="s">
        <v>30</v>
      </c>
      <c r="B4" s="22" t="s">
        <v>31</v>
      </c>
      <c r="C4" s="20" t="b">
        <v>0</v>
      </c>
      <c r="D4" s="20" t="b">
        <v>0</v>
      </c>
      <c r="E4" s="20" t="b">
        <v>0</v>
      </c>
      <c r="F4" s="20" t="b">
        <v>1</v>
      </c>
      <c r="G4" s="20" t="b">
        <v>0</v>
      </c>
      <c r="H4" s="21">
        <f t="shared" si="0"/>
        <v>4</v>
      </c>
    </row>
    <row r="5" spans="1:8" ht="31.5" x14ac:dyDescent="0.25">
      <c r="A5" s="13" t="s">
        <v>32</v>
      </c>
      <c r="B5" s="22" t="s">
        <v>33</v>
      </c>
      <c r="C5" s="20" t="b">
        <v>0</v>
      </c>
      <c r="D5" s="20" t="b">
        <v>0</v>
      </c>
      <c r="E5" s="20" t="b">
        <v>0</v>
      </c>
      <c r="F5" s="20" t="b">
        <v>1</v>
      </c>
      <c r="G5" s="20" t="b">
        <v>0</v>
      </c>
      <c r="H5" s="21">
        <f t="shared" si="0"/>
        <v>4</v>
      </c>
    </row>
    <row r="6" spans="1:8" ht="31.5" x14ac:dyDescent="0.25">
      <c r="A6" s="13" t="s">
        <v>34</v>
      </c>
      <c r="B6" s="22" t="s">
        <v>35</v>
      </c>
      <c r="C6" s="20" t="b">
        <v>0</v>
      </c>
      <c r="D6" s="20" t="b">
        <v>0</v>
      </c>
      <c r="E6" s="20" t="b">
        <v>0</v>
      </c>
      <c r="F6" s="20" t="b">
        <v>1</v>
      </c>
      <c r="G6" s="20" t="b">
        <v>0</v>
      </c>
      <c r="H6" s="21">
        <f t="shared" si="0"/>
        <v>4</v>
      </c>
    </row>
    <row r="7" spans="1:8" ht="31.5" x14ac:dyDescent="0.25">
      <c r="A7" s="13" t="s">
        <v>36</v>
      </c>
      <c r="B7" s="22" t="s">
        <v>37</v>
      </c>
      <c r="C7" s="20" t="b">
        <v>0</v>
      </c>
      <c r="D7" s="20" t="b">
        <v>0</v>
      </c>
      <c r="E7" s="20" t="b">
        <v>0</v>
      </c>
      <c r="F7" s="20" t="b">
        <v>1</v>
      </c>
      <c r="G7" s="20" t="b">
        <v>0</v>
      </c>
      <c r="H7" s="21">
        <f t="shared" si="0"/>
        <v>4</v>
      </c>
    </row>
    <row r="8" spans="1:8" ht="31.5" x14ac:dyDescent="0.25">
      <c r="A8" s="13" t="s">
        <v>38</v>
      </c>
      <c r="B8" s="22" t="s">
        <v>39</v>
      </c>
      <c r="C8" s="20" t="b">
        <v>0</v>
      </c>
      <c r="D8" s="20" t="b">
        <v>0</v>
      </c>
      <c r="E8" s="20" t="b">
        <v>0</v>
      </c>
      <c r="F8" s="20" t="b">
        <v>0</v>
      </c>
      <c r="G8" s="20" t="b">
        <v>1</v>
      </c>
      <c r="H8" s="21">
        <f t="shared" si="0"/>
        <v>5</v>
      </c>
    </row>
    <row r="9" spans="1:8" ht="31.5" x14ac:dyDescent="0.25">
      <c r="A9" s="13" t="s">
        <v>40</v>
      </c>
      <c r="B9" s="22" t="s">
        <v>41</v>
      </c>
      <c r="C9" s="20" t="b">
        <v>0</v>
      </c>
      <c r="D9" s="20" t="b">
        <v>0</v>
      </c>
      <c r="E9" s="20" t="b">
        <v>0</v>
      </c>
      <c r="F9" s="20" t="b">
        <v>1</v>
      </c>
      <c r="G9" s="20" t="b">
        <v>0</v>
      </c>
      <c r="H9" s="21">
        <f t="shared" si="0"/>
        <v>4</v>
      </c>
    </row>
    <row r="10" spans="1:8" ht="20.25" x14ac:dyDescent="0.25">
      <c r="A10" s="13"/>
      <c r="B10" s="13" t="s">
        <v>42</v>
      </c>
      <c r="C10" s="20" t="b">
        <v>0</v>
      </c>
      <c r="D10" s="20" t="b">
        <v>0</v>
      </c>
      <c r="E10" s="20" t="b">
        <v>0</v>
      </c>
      <c r="F10" s="20" t="b">
        <v>0</v>
      </c>
      <c r="G10" s="20" t="b">
        <v>0</v>
      </c>
      <c r="H10" s="21">
        <f>IF(C10=TRUE,1,0) + IF(D10=TRUE,2,0) + IF(E10=TRUE,3,0) + IF(F10=TRUE,4,0) + IF(G10=TRUE,5,0)</f>
        <v>0</v>
      </c>
    </row>
    <row r="11" spans="1:8" ht="47.25" x14ac:dyDescent="0.25">
      <c r="A11" s="13" t="s">
        <v>43</v>
      </c>
      <c r="B11" s="22" t="s">
        <v>44</v>
      </c>
      <c r="C11" s="20" t="b">
        <v>0</v>
      </c>
      <c r="D11" s="20" t="b">
        <v>0</v>
      </c>
      <c r="E11" s="20" t="b">
        <v>0</v>
      </c>
      <c r="F11" s="20" t="b">
        <v>0</v>
      </c>
      <c r="G11" s="20" t="b">
        <v>1</v>
      </c>
      <c r="H11" s="21">
        <f t="shared" ref="H11:H18" si="1">IF(C11,1,0) + IF(D11,2,0) + IF(E11,3,0) + IF(F11,4,0) + IF(G11,5,0)</f>
        <v>5</v>
      </c>
    </row>
    <row r="12" spans="1:8" ht="31.5" x14ac:dyDescent="0.25">
      <c r="A12" s="13" t="s">
        <v>45</v>
      </c>
      <c r="B12" s="22" t="s">
        <v>46</v>
      </c>
      <c r="C12" s="20" t="b">
        <v>0</v>
      </c>
      <c r="D12" s="20" t="b">
        <v>0</v>
      </c>
      <c r="E12" s="20" t="b">
        <v>0</v>
      </c>
      <c r="F12" s="20" t="b">
        <v>1</v>
      </c>
      <c r="G12" s="20" t="b">
        <v>0</v>
      </c>
      <c r="H12" s="21">
        <f t="shared" si="1"/>
        <v>4</v>
      </c>
    </row>
    <row r="13" spans="1:8" ht="47.25" x14ac:dyDescent="0.25">
      <c r="A13" s="13" t="s">
        <v>47</v>
      </c>
      <c r="B13" s="22" t="s">
        <v>48</v>
      </c>
      <c r="C13" s="20" t="b">
        <v>0</v>
      </c>
      <c r="D13" s="20" t="b">
        <v>0</v>
      </c>
      <c r="E13" s="20" t="b">
        <v>0</v>
      </c>
      <c r="F13" s="20" t="b">
        <v>1</v>
      </c>
      <c r="G13" s="20" t="b">
        <v>0</v>
      </c>
      <c r="H13" s="21">
        <f t="shared" si="1"/>
        <v>4</v>
      </c>
    </row>
    <row r="14" spans="1:8" ht="31.5" x14ac:dyDescent="0.25">
      <c r="A14" s="13" t="s">
        <v>49</v>
      </c>
      <c r="B14" s="22" t="s">
        <v>50</v>
      </c>
      <c r="C14" s="20" t="b">
        <v>0</v>
      </c>
      <c r="D14" s="20" t="b">
        <v>0</v>
      </c>
      <c r="E14" s="20" t="b">
        <v>0</v>
      </c>
      <c r="F14" s="20" t="b">
        <v>1</v>
      </c>
      <c r="G14" s="20" t="b">
        <v>0</v>
      </c>
      <c r="H14" s="21">
        <f t="shared" si="1"/>
        <v>4</v>
      </c>
    </row>
    <row r="15" spans="1:8" ht="31.5" x14ac:dyDescent="0.25">
      <c r="A15" s="13" t="s">
        <v>51</v>
      </c>
      <c r="B15" s="22" t="s">
        <v>52</v>
      </c>
      <c r="C15" s="20" t="b">
        <v>0</v>
      </c>
      <c r="D15" s="20" t="b">
        <v>0</v>
      </c>
      <c r="E15" s="20" t="b">
        <v>0</v>
      </c>
      <c r="F15" s="20" t="b">
        <v>0</v>
      </c>
      <c r="G15" s="20" t="b">
        <v>1</v>
      </c>
      <c r="H15" s="21">
        <f t="shared" si="1"/>
        <v>5</v>
      </c>
    </row>
    <row r="16" spans="1:8" ht="31.5" x14ac:dyDescent="0.25">
      <c r="A16" s="13" t="s">
        <v>53</v>
      </c>
      <c r="B16" s="22" t="s">
        <v>54</v>
      </c>
      <c r="C16" s="20" t="b">
        <v>0</v>
      </c>
      <c r="D16" s="20" t="b">
        <v>0</v>
      </c>
      <c r="E16" s="20" t="b">
        <v>1</v>
      </c>
      <c r="F16" s="20" t="b">
        <v>0</v>
      </c>
      <c r="G16" s="20" t="b">
        <v>0</v>
      </c>
      <c r="H16" s="21">
        <f t="shared" si="1"/>
        <v>3</v>
      </c>
    </row>
    <row r="17" spans="1:8" ht="31.5" x14ac:dyDescent="0.25">
      <c r="A17" s="13" t="s">
        <v>55</v>
      </c>
      <c r="B17" s="22" t="s">
        <v>56</v>
      </c>
      <c r="C17" s="20" t="b">
        <v>0</v>
      </c>
      <c r="D17" s="20" t="b">
        <v>0</v>
      </c>
      <c r="E17" s="20" t="b">
        <v>1</v>
      </c>
      <c r="F17" s="20" t="b">
        <v>0</v>
      </c>
      <c r="G17" s="20" t="b">
        <v>0</v>
      </c>
      <c r="H17" s="21">
        <f t="shared" si="1"/>
        <v>3</v>
      </c>
    </row>
    <row r="18" spans="1:8" ht="47.25" x14ac:dyDescent="0.25">
      <c r="A18" s="13" t="s">
        <v>57</v>
      </c>
      <c r="B18" s="22" t="s">
        <v>58</v>
      </c>
      <c r="C18" s="20" t="b">
        <v>0</v>
      </c>
      <c r="D18" s="20" t="b">
        <v>0</v>
      </c>
      <c r="E18" s="20" t="b">
        <v>1</v>
      </c>
      <c r="F18" s="20" t="b">
        <v>0</v>
      </c>
      <c r="G18" s="20" t="b">
        <v>0</v>
      </c>
      <c r="H18" s="21">
        <f t="shared" si="1"/>
        <v>3</v>
      </c>
    </row>
    <row r="19" spans="1:8" ht="20.25" x14ac:dyDescent="0.25">
      <c r="A19" s="13"/>
      <c r="B19" s="13" t="s">
        <v>59</v>
      </c>
      <c r="C19" s="20" t="b">
        <v>0</v>
      </c>
      <c r="D19" s="20" t="b">
        <v>0</v>
      </c>
      <c r="E19" s="20" t="b">
        <v>0</v>
      </c>
      <c r="F19" s="20" t="b">
        <v>0</v>
      </c>
      <c r="G19" s="20" t="b">
        <v>0</v>
      </c>
      <c r="H19" s="21">
        <f>IF(C19=TRUE,1,0) + IF(D19=TRUE,2,0) + IF(E19=TRUE,3,0) + IF(F19=TRUE,4,0) + IF(G19=TRUE,5,0)</f>
        <v>0</v>
      </c>
    </row>
    <row r="20" spans="1:8" ht="31.5" x14ac:dyDescent="0.25">
      <c r="A20" s="13" t="s">
        <v>60</v>
      </c>
      <c r="B20" s="22" t="s">
        <v>61</v>
      </c>
      <c r="C20" s="20" t="b">
        <v>0</v>
      </c>
      <c r="D20" s="20" t="b">
        <v>0</v>
      </c>
      <c r="E20" s="20" t="b">
        <v>1</v>
      </c>
      <c r="F20" s="20" t="b">
        <v>0</v>
      </c>
      <c r="G20" s="20" t="b">
        <v>0</v>
      </c>
      <c r="H20" s="21">
        <f>IF(C20,1,0) + IF(D20,2,0) + IF(E20,3,0) + IF(F20,4,0) + IF(G20,5,0)</f>
        <v>3</v>
      </c>
    </row>
    <row r="21" spans="1:8" ht="31.5" x14ac:dyDescent="0.25">
      <c r="A21" s="13" t="s">
        <v>62</v>
      </c>
      <c r="B21" s="22" t="s">
        <v>63</v>
      </c>
      <c r="C21" s="20" t="b">
        <v>0</v>
      </c>
      <c r="D21" s="20" t="b">
        <v>0</v>
      </c>
      <c r="E21" s="20" t="b">
        <v>1</v>
      </c>
      <c r="F21" s="20" t="b">
        <v>0</v>
      </c>
      <c r="G21" s="20" t="b">
        <v>0</v>
      </c>
      <c r="H21" s="21">
        <f>IF(C21,1,0) + IF(D21,2,0) + IF(E21,3,0) + IF(F21,4,0) + IF(G21,5,0)</f>
        <v>3</v>
      </c>
    </row>
    <row r="22" spans="1:8" ht="47.25" x14ac:dyDescent="0.25">
      <c r="A22" s="13" t="s">
        <v>64</v>
      </c>
      <c r="B22" s="22" t="s">
        <v>65</v>
      </c>
      <c r="C22" s="20" t="b">
        <v>0</v>
      </c>
      <c r="D22" s="20" t="b">
        <v>0</v>
      </c>
      <c r="E22" s="20" t="b">
        <v>1</v>
      </c>
      <c r="F22" s="20" t="b">
        <v>0</v>
      </c>
      <c r="G22" s="20" t="b">
        <v>0</v>
      </c>
      <c r="H22" s="21">
        <f>IF(C22,1,0) + IF(D22,2,0) + IF(E22,3,0) + IF(F22,4,0) + IF(G22,5,0)</f>
        <v>3</v>
      </c>
    </row>
    <row r="23" spans="1:8" ht="31.5" x14ac:dyDescent="0.25">
      <c r="A23" s="13" t="s">
        <v>66</v>
      </c>
      <c r="B23" s="22" t="s">
        <v>67</v>
      </c>
      <c r="C23" s="20" t="b">
        <v>0</v>
      </c>
      <c r="D23" s="20" t="b">
        <v>0</v>
      </c>
      <c r="E23" s="20" t="b">
        <v>1</v>
      </c>
      <c r="F23" s="20" t="b">
        <v>0</v>
      </c>
      <c r="G23" s="20" t="b">
        <v>0</v>
      </c>
      <c r="H23" s="21">
        <f>IF(C23,1,0) + IF(D23,2,0) + IF(E23,3,0) + IF(F23,4,0) + IF(G23,5,0)</f>
        <v>3</v>
      </c>
    </row>
    <row r="24" spans="1:8" ht="20.25" x14ac:dyDescent="0.25">
      <c r="A24" s="13"/>
      <c r="B24" s="13" t="s">
        <v>68</v>
      </c>
      <c r="C24" s="20" t="b">
        <v>0</v>
      </c>
      <c r="D24" s="20" t="b">
        <v>0</v>
      </c>
      <c r="E24" s="20" t="b">
        <v>0</v>
      </c>
      <c r="F24" s="20" t="b">
        <v>0</v>
      </c>
      <c r="G24" s="20" t="b">
        <v>0</v>
      </c>
      <c r="H24" s="21">
        <f>IF(C24=TRUE,1,0) + IF(D24=TRUE,2,0) + IF(E24=TRUE,3,0) + IF(F24=TRUE,4,0) + IF(G24=TRUE,5,0)</f>
        <v>0</v>
      </c>
    </row>
    <row r="25" spans="1:8" ht="31.5" x14ac:dyDescent="0.25">
      <c r="A25" s="13" t="s">
        <v>69</v>
      </c>
      <c r="B25" s="22" t="s">
        <v>70</v>
      </c>
      <c r="C25" s="20" t="b">
        <v>0</v>
      </c>
      <c r="D25" s="20" t="b">
        <v>0</v>
      </c>
      <c r="E25" s="20" t="b">
        <v>0</v>
      </c>
      <c r="F25" s="20" t="b">
        <v>0</v>
      </c>
      <c r="G25" s="20" t="b">
        <v>1</v>
      </c>
      <c r="H25" s="21">
        <f t="shared" ref="H25:H32" si="2">IF(C25,1,0) + IF(D25,2,0) + IF(E25,3,0) + IF(F25,4,0) + IF(G25,5,0)</f>
        <v>5</v>
      </c>
    </row>
    <row r="26" spans="1:8" ht="31.5" x14ac:dyDescent="0.25">
      <c r="A26" s="13" t="s">
        <v>71</v>
      </c>
      <c r="B26" s="22" t="s">
        <v>72</v>
      </c>
      <c r="C26" s="20" t="b">
        <v>0</v>
      </c>
      <c r="D26" s="20" t="b">
        <v>0</v>
      </c>
      <c r="E26" s="20" t="b">
        <v>0</v>
      </c>
      <c r="F26" s="20" t="b">
        <v>0</v>
      </c>
      <c r="G26" s="20" t="b">
        <v>1</v>
      </c>
      <c r="H26" s="21">
        <f t="shared" si="2"/>
        <v>5</v>
      </c>
    </row>
    <row r="27" spans="1:8" ht="31.5" x14ac:dyDescent="0.25">
      <c r="A27" s="13" t="s">
        <v>73</v>
      </c>
      <c r="B27" s="22" t="s">
        <v>74</v>
      </c>
      <c r="C27" s="20" t="b">
        <v>0</v>
      </c>
      <c r="D27" s="20" t="b">
        <v>0</v>
      </c>
      <c r="E27" s="20" t="b">
        <v>0</v>
      </c>
      <c r="F27" s="20" t="b">
        <v>1</v>
      </c>
      <c r="G27" s="20" t="b">
        <v>0</v>
      </c>
      <c r="H27" s="21">
        <f t="shared" si="2"/>
        <v>4</v>
      </c>
    </row>
    <row r="28" spans="1:8" ht="31.5" x14ac:dyDescent="0.25">
      <c r="A28" s="13" t="s">
        <v>75</v>
      </c>
      <c r="B28" s="19" t="s">
        <v>76</v>
      </c>
      <c r="C28" s="20" t="b">
        <v>0</v>
      </c>
      <c r="D28" s="20" t="b">
        <v>0</v>
      </c>
      <c r="E28" s="20" t="b">
        <v>0</v>
      </c>
      <c r="F28" s="20" t="b">
        <v>1</v>
      </c>
      <c r="G28" s="20" t="b">
        <v>0</v>
      </c>
      <c r="H28" s="21">
        <f t="shared" si="2"/>
        <v>4</v>
      </c>
    </row>
    <row r="29" spans="1:8" ht="47.25" x14ac:dyDescent="0.25">
      <c r="A29" s="13" t="s">
        <v>77</v>
      </c>
      <c r="B29" s="19" t="s">
        <v>78</v>
      </c>
      <c r="C29" s="20" t="b">
        <v>0</v>
      </c>
      <c r="D29" s="20" t="b">
        <v>0</v>
      </c>
      <c r="E29" s="20" t="b">
        <v>0</v>
      </c>
      <c r="F29" s="20" t="b">
        <v>0</v>
      </c>
      <c r="G29" s="20" t="b">
        <v>1</v>
      </c>
      <c r="H29" s="21">
        <f t="shared" si="2"/>
        <v>5</v>
      </c>
    </row>
    <row r="30" spans="1:8" ht="31.5" x14ac:dyDescent="0.25">
      <c r="A30" s="13" t="s">
        <v>79</v>
      </c>
      <c r="B30" s="22" t="s">
        <v>80</v>
      </c>
      <c r="C30" s="20" t="b">
        <v>0</v>
      </c>
      <c r="D30" s="20" t="b">
        <v>0</v>
      </c>
      <c r="E30" s="20" t="b">
        <v>0</v>
      </c>
      <c r="F30" s="20" t="b">
        <v>0</v>
      </c>
      <c r="G30" s="20" t="b">
        <v>1</v>
      </c>
      <c r="H30" s="21">
        <f t="shared" si="2"/>
        <v>5</v>
      </c>
    </row>
    <row r="31" spans="1:8" ht="31.5" x14ac:dyDescent="0.25">
      <c r="A31" s="13" t="s">
        <v>81</v>
      </c>
      <c r="B31" s="22" t="s">
        <v>82</v>
      </c>
      <c r="C31" s="20" t="b">
        <v>0</v>
      </c>
      <c r="D31" s="20" t="b">
        <v>0</v>
      </c>
      <c r="E31" s="20" t="b">
        <v>0</v>
      </c>
      <c r="F31" s="20" t="b">
        <v>0</v>
      </c>
      <c r="G31" s="20" t="b">
        <v>1</v>
      </c>
      <c r="H31" s="21">
        <f t="shared" si="2"/>
        <v>5</v>
      </c>
    </row>
    <row r="32" spans="1:8" ht="47.25" x14ac:dyDescent="0.25">
      <c r="A32" s="13" t="s">
        <v>83</v>
      </c>
      <c r="B32" s="22" t="s">
        <v>84</v>
      </c>
      <c r="C32" s="20" t="b">
        <v>0</v>
      </c>
      <c r="D32" s="20" t="b">
        <v>0</v>
      </c>
      <c r="E32" s="20" t="b">
        <v>0</v>
      </c>
      <c r="F32" s="20" t="b">
        <v>1</v>
      </c>
      <c r="G32" s="20" t="b">
        <v>0</v>
      </c>
      <c r="H32" s="21">
        <f t="shared" si="2"/>
        <v>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32"/>
  <sheetViews>
    <sheetView workbookViewId="0"/>
  </sheetViews>
  <sheetFormatPr defaultRowHeight="15.75" x14ac:dyDescent="0.25"/>
  <cols>
    <col min="1" max="1" width="18.625" customWidth="1"/>
    <col min="2" max="2" width="54.5" customWidth="1"/>
    <col min="3" max="3" width="8.625" customWidth="1"/>
    <col min="4" max="4" width="10.25" customWidth="1"/>
    <col min="5" max="5" width="8.625" customWidth="1"/>
    <col min="7" max="7" width="8.125" customWidth="1"/>
    <col min="8" max="8" width="14.625" customWidth="1"/>
    <col min="9" max="9" width="8.625" customWidth="1"/>
  </cols>
  <sheetData>
    <row r="1" spans="1:8" ht="40.5" x14ac:dyDescent="0.25">
      <c r="B1" s="13" t="s">
        <v>19</v>
      </c>
      <c r="C1" s="13" t="s">
        <v>20</v>
      </c>
      <c r="D1" s="13" t="s">
        <v>21</v>
      </c>
      <c r="E1" s="13" t="s">
        <v>22</v>
      </c>
      <c r="F1" s="13" t="s">
        <v>23</v>
      </c>
      <c r="G1" s="13" t="s">
        <v>24</v>
      </c>
      <c r="H1" s="14" t="s">
        <v>25</v>
      </c>
    </row>
    <row r="2" spans="1:8" ht="31.5" x14ac:dyDescent="0.25">
      <c r="A2" s="13" t="s">
        <v>26</v>
      </c>
      <c r="B2" s="19" t="s">
        <v>27</v>
      </c>
      <c r="C2" s="20" t="b">
        <v>0</v>
      </c>
      <c r="D2" s="20" t="b">
        <v>0</v>
      </c>
      <c r="E2" s="20" t="b">
        <v>0</v>
      </c>
      <c r="F2" s="20" t="b">
        <v>0</v>
      </c>
      <c r="G2" s="20" t="b">
        <v>1</v>
      </c>
      <c r="H2" s="21">
        <f t="shared" ref="H2:H9" si="0">IF(C2,1,0) + IF(D2,2,0) + IF(E2,3,0) + IF(F2,4,0) + IF(G2,5,0)</f>
        <v>5</v>
      </c>
    </row>
    <row r="3" spans="1:8" ht="31.5" x14ac:dyDescent="0.25">
      <c r="A3" s="13" t="s">
        <v>28</v>
      </c>
      <c r="B3" s="22" t="s">
        <v>29</v>
      </c>
      <c r="C3" s="20" t="b">
        <v>0</v>
      </c>
      <c r="D3" s="20" t="b">
        <v>0</v>
      </c>
      <c r="E3" s="20" t="b">
        <v>0</v>
      </c>
      <c r="F3" s="20" t="b">
        <v>1</v>
      </c>
      <c r="G3" s="20" t="b">
        <v>0</v>
      </c>
      <c r="H3" s="21">
        <f t="shared" si="0"/>
        <v>4</v>
      </c>
    </row>
    <row r="4" spans="1:8" ht="31.5" x14ac:dyDescent="0.25">
      <c r="A4" s="13" t="s">
        <v>30</v>
      </c>
      <c r="B4" s="22" t="s">
        <v>31</v>
      </c>
      <c r="C4" s="20" t="b">
        <v>0</v>
      </c>
      <c r="D4" s="20" t="b">
        <v>0</v>
      </c>
      <c r="E4" s="20" t="b">
        <v>0</v>
      </c>
      <c r="F4" s="20" t="b">
        <v>1</v>
      </c>
      <c r="G4" s="20" t="b">
        <v>0</v>
      </c>
      <c r="H4" s="21">
        <f t="shared" si="0"/>
        <v>4</v>
      </c>
    </row>
    <row r="5" spans="1:8" ht="31.5" x14ac:dyDescent="0.25">
      <c r="A5" s="13" t="s">
        <v>32</v>
      </c>
      <c r="B5" s="22" t="s">
        <v>33</v>
      </c>
      <c r="C5" s="20" t="b">
        <v>0</v>
      </c>
      <c r="D5" s="20" t="b">
        <v>0</v>
      </c>
      <c r="E5" s="20" t="b">
        <v>1</v>
      </c>
      <c r="F5" s="20" t="b">
        <v>0</v>
      </c>
      <c r="G5" s="20" t="b">
        <v>0</v>
      </c>
      <c r="H5" s="21">
        <f t="shared" si="0"/>
        <v>3</v>
      </c>
    </row>
    <row r="6" spans="1:8" ht="31.5" x14ac:dyDescent="0.25">
      <c r="A6" s="13" t="s">
        <v>34</v>
      </c>
      <c r="B6" s="22" t="s">
        <v>35</v>
      </c>
      <c r="C6" s="20" t="b">
        <v>0</v>
      </c>
      <c r="D6" s="20" t="b">
        <v>0</v>
      </c>
      <c r="E6" s="20" t="b">
        <v>0</v>
      </c>
      <c r="F6" s="20" t="b">
        <v>1</v>
      </c>
      <c r="G6" s="20" t="b">
        <v>0</v>
      </c>
      <c r="H6" s="21">
        <f t="shared" si="0"/>
        <v>4</v>
      </c>
    </row>
    <row r="7" spans="1:8" ht="31.5" x14ac:dyDescent="0.25">
      <c r="A7" s="13" t="s">
        <v>36</v>
      </c>
      <c r="B7" s="22" t="s">
        <v>37</v>
      </c>
      <c r="C7" s="20" t="b">
        <v>0</v>
      </c>
      <c r="D7" s="20" t="b">
        <v>0</v>
      </c>
      <c r="E7" s="20" t="b">
        <v>1</v>
      </c>
      <c r="F7" s="20" t="b">
        <v>0</v>
      </c>
      <c r="G7" s="20" t="b">
        <v>0</v>
      </c>
      <c r="H7" s="21">
        <f t="shared" si="0"/>
        <v>3</v>
      </c>
    </row>
    <row r="8" spans="1:8" ht="31.5" x14ac:dyDescent="0.25">
      <c r="A8" s="13" t="s">
        <v>38</v>
      </c>
      <c r="B8" s="22" t="s">
        <v>39</v>
      </c>
      <c r="C8" s="20" t="b">
        <v>0</v>
      </c>
      <c r="D8" s="20" t="b">
        <v>0</v>
      </c>
      <c r="E8" s="20" t="b">
        <v>0</v>
      </c>
      <c r="F8" s="20" t="b">
        <v>0</v>
      </c>
      <c r="G8" s="20" t="b">
        <v>1</v>
      </c>
      <c r="H8" s="21">
        <f t="shared" si="0"/>
        <v>5</v>
      </c>
    </row>
    <row r="9" spans="1:8" ht="31.5" x14ac:dyDescent="0.25">
      <c r="A9" s="13" t="s">
        <v>40</v>
      </c>
      <c r="B9" s="22" t="s">
        <v>41</v>
      </c>
      <c r="C9" s="20" t="b">
        <v>0</v>
      </c>
      <c r="D9" s="20" t="b">
        <v>0</v>
      </c>
      <c r="E9" s="20" t="b">
        <v>1</v>
      </c>
      <c r="F9" s="20" t="b">
        <v>0</v>
      </c>
      <c r="G9" s="20" t="b">
        <v>0</v>
      </c>
      <c r="H9" s="21">
        <f t="shared" si="0"/>
        <v>3</v>
      </c>
    </row>
    <row r="10" spans="1:8" ht="20.25" x14ac:dyDescent="0.25">
      <c r="A10" s="13"/>
      <c r="B10" s="13" t="s">
        <v>42</v>
      </c>
      <c r="C10" s="20" t="b">
        <v>0</v>
      </c>
      <c r="D10" s="20" t="b">
        <v>0</v>
      </c>
      <c r="E10" s="20" t="b">
        <v>0</v>
      </c>
      <c r="F10" s="20" t="b">
        <v>0</v>
      </c>
      <c r="G10" s="20" t="b">
        <v>0</v>
      </c>
      <c r="H10" s="21">
        <f>IF(C10=TRUE,1,0) + IF(D10=TRUE,2,0) + IF(E10=TRUE,3,0) + IF(F10=TRUE,4,0) + IF(G10=TRUE,5,0)</f>
        <v>0</v>
      </c>
    </row>
    <row r="11" spans="1:8" ht="47.25" x14ac:dyDescent="0.25">
      <c r="A11" s="13" t="s">
        <v>43</v>
      </c>
      <c r="B11" s="22" t="s">
        <v>44</v>
      </c>
      <c r="C11" s="20" t="b">
        <v>0</v>
      </c>
      <c r="D11" s="20" t="b">
        <v>0</v>
      </c>
      <c r="E11" s="20" t="b">
        <v>0</v>
      </c>
      <c r="F11" s="20" t="b">
        <v>1</v>
      </c>
      <c r="G11" s="20" t="b">
        <v>0</v>
      </c>
      <c r="H11" s="21">
        <f t="shared" ref="H11:H18" si="1">IF(C11,1,0) + IF(D11,2,0) + IF(E11,3,0) + IF(F11,4,0) + IF(G11,5,0)</f>
        <v>4</v>
      </c>
    </row>
    <row r="12" spans="1:8" ht="31.5" x14ac:dyDescent="0.25">
      <c r="A12" s="13" t="s">
        <v>45</v>
      </c>
      <c r="B12" s="22" t="s">
        <v>46</v>
      </c>
      <c r="C12" s="20" t="b">
        <v>0</v>
      </c>
      <c r="D12" s="20" t="b">
        <v>0</v>
      </c>
      <c r="E12" s="20" t="b">
        <v>0</v>
      </c>
      <c r="F12" s="20" t="b">
        <v>0</v>
      </c>
      <c r="G12" s="20" t="b">
        <v>1</v>
      </c>
      <c r="H12" s="21">
        <f t="shared" si="1"/>
        <v>5</v>
      </c>
    </row>
    <row r="13" spans="1:8" ht="47.25" x14ac:dyDescent="0.25">
      <c r="A13" s="13" t="s">
        <v>47</v>
      </c>
      <c r="B13" s="22" t="s">
        <v>48</v>
      </c>
      <c r="C13" s="20" t="b">
        <v>0</v>
      </c>
      <c r="D13" s="20" t="b">
        <v>0</v>
      </c>
      <c r="E13" s="20" t="b">
        <v>1</v>
      </c>
      <c r="F13" s="20" t="b">
        <v>0</v>
      </c>
      <c r="G13" s="20" t="b">
        <v>0</v>
      </c>
      <c r="H13" s="21">
        <f t="shared" si="1"/>
        <v>3</v>
      </c>
    </row>
    <row r="14" spans="1:8" ht="31.5" x14ac:dyDescent="0.25">
      <c r="A14" s="13" t="s">
        <v>49</v>
      </c>
      <c r="B14" s="22" t="s">
        <v>50</v>
      </c>
      <c r="C14" s="20" t="b">
        <v>0</v>
      </c>
      <c r="D14" s="20" t="b">
        <v>0</v>
      </c>
      <c r="E14" s="20" t="b">
        <v>0</v>
      </c>
      <c r="F14" s="20" t="b">
        <v>1</v>
      </c>
      <c r="G14" s="20" t="b">
        <v>0</v>
      </c>
      <c r="H14" s="21">
        <f t="shared" si="1"/>
        <v>4</v>
      </c>
    </row>
    <row r="15" spans="1:8" ht="31.5" x14ac:dyDescent="0.25">
      <c r="A15" s="13" t="s">
        <v>51</v>
      </c>
      <c r="B15" s="22" t="s">
        <v>52</v>
      </c>
      <c r="C15" s="20" t="b">
        <v>0</v>
      </c>
      <c r="D15" s="20" t="b">
        <v>0</v>
      </c>
      <c r="E15" s="20" t="b">
        <v>0</v>
      </c>
      <c r="F15" s="20" t="b">
        <v>1</v>
      </c>
      <c r="G15" s="20" t="b">
        <v>0</v>
      </c>
      <c r="H15" s="21">
        <f t="shared" si="1"/>
        <v>4</v>
      </c>
    </row>
    <row r="16" spans="1:8" ht="31.5" x14ac:dyDescent="0.25">
      <c r="A16" s="13" t="s">
        <v>53</v>
      </c>
      <c r="B16" s="22" t="s">
        <v>54</v>
      </c>
      <c r="C16" s="20" t="b">
        <v>0</v>
      </c>
      <c r="D16" s="20" t="b">
        <v>0</v>
      </c>
      <c r="E16" s="20" t="b">
        <v>0</v>
      </c>
      <c r="F16" s="20" t="b">
        <v>1</v>
      </c>
      <c r="G16" s="20" t="b">
        <v>0</v>
      </c>
      <c r="H16" s="21">
        <f t="shared" si="1"/>
        <v>4</v>
      </c>
    </row>
    <row r="17" spans="1:8" ht="31.5" x14ac:dyDescent="0.25">
      <c r="A17" s="13" t="s">
        <v>55</v>
      </c>
      <c r="B17" s="22" t="s">
        <v>56</v>
      </c>
      <c r="C17" s="20" t="b">
        <v>0</v>
      </c>
      <c r="D17" s="20" t="b">
        <v>0</v>
      </c>
      <c r="E17" s="20" t="b">
        <v>1</v>
      </c>
      <c r="F17" s="20" t="b">
        <v>0</v>
      </c>
      <c r="G17" s="20" t="b">
        <v>0</v>
      </c>
      <c r="H17" s="21">
        <f t="shared" si="1"/>
        <v>3</v>
      </c>
    </row>
    <row r="18" spans="1:8" ht="47.25" x14ac:dyDescent="0.25">
      <c r="A18" s="13" t="s">
        <v>57</v>
      </c>
      <c r="B18" s="22" t="s">
        <v>58</v>
      </c>
      <c r="C18" s="20" t="b">
        <v>0</v>
      </c>
      <c r="D18" s="20" t="b">
        <v>0</v>
      </c>
      <c r="E18" s="20" t="b">
        <v>1</v>
      </c>
      <c r="F18" s="20" t="b">
        <v>0</v>
      </c>
      <c r="G18" s="20" t="b">
        <v>0</v>
      </c>
      <c r="H18" s="21">
        <f t="shared" si="1"/>
        <v>3</v>
      </c>
    </row>
    <row r="19" spans="1:8" ht="20.25" x14ac:dyDescent="0.25">
      <c r="A19" s="13"/>
      <c r="B19" s="13" t="s">
        <v>59</v>
      </c>
      <c r="C19" s="20" t="b">
        <v>0</v>
      </c>
      <c r="D19" s="20" t="b">
        <v>0</v>
      </c>
      <c r="E19" s="20" t="b">
        <v>0</v>
      </c>
      <c r="F19" s="20" t="b">
        <v>0</v>
      </c>
      <c r="G19" s="20" t="b">
        <v>0</v>
      </c>
      <c r="H19" s="21">
        <f>IF(C19=TRUE,1,0) + IF(D19=TRUE,2,0) + IF(E19=TRUE,3,0) + IF(F19=TRUE,4,0) + IF(G19=TRUE,5,0)</f>
        <v>0</v>
      </c>
    </row>
    <row r="20" spans="1:8" ht="31.5" x14ac:dyDescent="0.25">
      <c r="A20" s="13" t="s">
        <v>60</v>
      </c>
      <c r="B20" s="22" t="s">
        <v>61</v>
      </c>
      <c r="C20" s="20" t="b">
        <v>0</v>
      </c>
      <c r="D20" s="20" t="b">
        <v>0</v>
      </c>
      <c r="E20" s="20" t="b">
        <v>1</v>
      </c>
      <c r="F20" s="20" t="b">
        <v>0</v>
      </c>
      <c r="G20" s="20" t="b">
        <v>0</v>
      </c>
      <c r="H20" s="21">
        <f>IF(C20,1,0) + IF(D20,2,0) + IF(E20,3,0) + IF(F20,4,0) + IF(G20,5,0)</f>
        <v>3</v>
      </c>
    </row>
    <row r="21" spans="1:8" ht="31.5" x14ac:dyDescent="0.25">
      <c r="A21" s="13" t="s">
        <v>62</v>
      </c>
      <c r="B21" s="22" t="s">
        <v>63</v>
      </c>
      <c r="C21" s="20" t="b">
        <v>0</v>
      </c>
      <c r="D21" s="20" t="b">
        <v>0</v>
      </c>
      <c r="E21" s="20" t="b">
        <v>0</v>
      </c>
      <c r="F21" s="20" t="b">
        <v>1</v>
      </c>
      <c r="G21" s="20" t="b">
        <v>0</v>
      </c>
      <c r="H21" s="21">
        <f>IF(C21,1,0) + IF(D21,2,0) + IF(E21,3,0) + IF(F21,4,0) + IF(G21,5,0)</f>
        <v>4</v>
      </c>
    </row>
    <row r="22" spans="1:8" ht="47.25" x14ac:dyDescent="0.25">
      <c r="A22" s="13" t="s">
        <v>64</v>
      </c>
      <c r="B22" s="22" t="s">
        <v>65</v>
      </c>
      <c r="C22" s="20" t="b">
        <v>0</v>
      </c>
      <c r="D22" s="20" t="b">
        <v>0</v>
      </c>
      <c r="E22" s="20" t="b">
        <v>1</v>
      </c>
      <c r="F22" s="20" t="b">
        <v>0</v>
      </c>
      <c r="G22" s="20" t="b">
        <v>0</v>
      </c>
      <c r="H22" s="21">
        <f>IF(C22,1,0) + IF(D22,2,0) + IF(E22,3,0) + IF(F22,4,0) + IF(G22,5,0)</f>
        <v>3</v>
      </c>
    </row>
    <row r="23" spans="1:8" ht="31.5" x14ac:dyDescent="0.25">
      <c r="A23" s="13" t="s">
        <v>66</v>
      </c>
      <c r="B23" s="22" t="s">
        <v>67</v>
      </c>
      <c r="C23" s="20" t="b">
        <v>0</v>
      </c>
      <c r="D23" s="20" t="b">
        <v>0</v>
      </c>
      <c r="E23" s="20" t="b">
        <v>0</v>
      </c>
      <c r="F23" s="20" t="b">
        <v>0</v>
      </c>
      <c r="G23" s="20" t="b">
        <v>1</v>
      </c>
      <c r="H23" s="21">
        <f>IF(C23,1,0) + IF(D23,2,0) + IF(E23,3,0) + IF(F23,4,0) + IF(G23,5,0)</f>
        <v>5</v>
      </c>
    </row>
    <row r="24" spans="1:8" ht="20.25" x14ac:dyDescent="0.25">
      <c r="A24" s="13"/>
      <c r="B24" s="13" t="s">
        <v>68</v>
      </c>
      <c r="C24" s="20" t="b">
        <v>0</v>
      </c>
      <c r="D24" s="20" t="b">
        <v>0</v>
      </c>
      <c r="E24" s="20" t="b">
        <v>0</v>
      </c>
      <c r="F24" s="20" t="b">
        <v>0</v>
      </c>
      <c r="G24" s="20" t="b">
        <v>0</v>
      </c>
      <c r="H24" s="21">
        <f>IF(C24=TRUE,1,0) + IF(D24=TRUE,2,0) + IF(E24=TRUE,3,0) + IF(F24=TRUE,4,0) + IF(G24=TRUE,5,0)</f>
        <v>0</v>
      </c>
    </row>
    <row r="25" spans="1:8" ht="31.5" x14ac:dyDescent="0.25">
      <c r="A25" s="13" t="s">
        <v>69</v>
      </c>
      <c r="B25" s="22" t="s">
        <v>70</v>
      </c>
      <c r="C25" s="20" t="b">
        <v>0</v>
      </c>
      <c r="D25" s="20" t="b">
        <v>0</v>
      </c>
      <c r="E25" s="20" t="b">
        <v>0</v>
      </c>
      <c r="F25" s="20" t="b">
        <v>0</v>
      </c>
      <c r="G25" s="20" t="b">
        <v>1</v>
      </c>
      <c r="H25" s="21">
        <f t="shared" ref="H25:H32" si="2">IF(C25,1,0) + IF(D25,2,0) + IF(E25,3,0) + IF(F25,4,0) + IF(G25,5,0)</f>
        <v>5</v>
      </c>
    </row>
    <row r="26" spans="1:8" ht="31.5" x14ac:dyDescent="0.25">
      <c r="A26" s="13" t="s">
        <v>71</v>
      </c>
      <c r="B26" s="22" t="s">
        <v>72</v>
      </c>
      <c r="C26" s="20" t="b">
        <v>0</v>
      </c>
      <c r="D26" s="20" t="b">
        <v>0</v>
      </c>
      <c r="E26" s="20" t="b">
        <v>0</v>
      </c>
      <c r="F26" s="20" t="b">
        <v>0</v>
      </c>
      <c r="G26" s="20" t="b">
        <v>1</v>
      </c>
      <c r="H26" s="21">
        <f t="shared" si="2"/>
        <v>5</v>
      </c>
    </row>
    <row r="27" spans="1:8" ht="31.5" x14ac:dyDescent="0.25">
      <c r="A27" s="13" t="s">
        <v>73</v>
      </c>
      <c r="B27" s="22" t="s">
        <v>74</v>
      </c>
      <c r="C27" s="20" t="b">
        <v>0</v>
      </c>
      <c r="D27" s="20" t="b">
        <v>0</v>
      </c>
      <c r="E27" s="20" t="b">
        <v>0</v>
      </c>
      <c r="F27" s="20" t="b">
        <v>1</v>
      </c>
      <c r="G27" s="20" t="b">
        <v>0</v>
      </c>
      <c r="H27" s="21">
        <f t="shared" si="2"/>
        <v>4</v>
      </c>
    </row>
    <row r="28" spans="1:8" ht="31.5" x14ac:dyDescent="0.25">
      <c r="A28" s="13" t="s">
        <v>75</v>
      </c>
      <c r="B28" s="19" t="s">
        <v>76</v>
      </c>
      <c r="C28" s="20" t="b">
        <v>0</v>
      </c>
      <c r="D28" s="20" t="b">
        <v>0</v>
      </c>
      <c r="E28" s="20" t="b">
        <v>0</v>
      </c>
      <c r="F28" s="20" t="b">
        <v>0</v>
      </c>
      <c r="G28" s="20" t="b">
        <v>1</v>
      </c>
      <c r="H28" s="21">
        <f t="shared" si="2"/>
        <v>5</v>
      </c>
    </row>
    <row r="29" spans="1:8" ht="47.25" x14ac:dyDescent="0.25">
      <c r="A29" s="13" t="s">
        <v>77</v>
      </c>
      <c r="B29" s="19" t="s">
        <v>78</v>
      </c>
      <c r="C29" s="20" t="b">
        <v>0</v>
      </c>
      <c r="D29" s="20" t="b">
        <v>0</v>
      </c>
      <c r="E29" s="20" t="b">
        <v>0</v>
      </c>
      <c r="F29" s="20" t="b">
        <v>0</v>
      </c>
      <c r="G29" s="20" t="b">
        <v>1</v>
      </c>
      <c r="H29" s="21">
        <f t="shared" si="2"/>
        <v>5</v>
      </c>
    </row>
    <row r="30" spans="1:8" ht="31.5" x14ac:dyDescent="0.25">
      <c r="A30" s="13" t="s">
        <v>79</v>
      </c>
      <c r="B30" s="22" t="s">
        <v>80</v>
      </c>
      <c r="C30" s="20" t="b">
        <v>0</v>
      </c>
      <c r="D30" s="20" t="b">
        <v>0</v>
      </c>
      <c r="E30" s="20" t="b">
        <v>0</v>
      </c>
      <c r="F30" s="20" t="b">
        <v>1</v>
      </c>
      <c r="G30" s="20" t="b">
        <v>0</v>
      </c>
      <c r="H30" s="21">
        <f t="shared" si="2"/>
        <v>4</v>
      </c>
    </row>
    <row r="31" spans="1:8" ht="31.5" x14ac:dyDescent="0.25">
      <c r="A31" s="13" t="s">
        <v>81</v>
      </c>
      <c r="B31" s="22" t="s">
        <v>82</v>
      </c>
      <c r="C31" s="20" t="b">
        <v>0</v>
      </c>
      <c r="D31" s="20" t="b">
        <v>0</v>
      </c>
      <c r="E31" s="20" t="b">
        <v>0</v>
      </c>
      <c r="F31" s="20" t="b">
        <v>1</v>
      </c>
      <c r="G31" s="20" t="b">
        <v>0</v>
      </c>
      <c r="H31" s="21">
        <f t="shared" si="2"/>
        <v>4</v>
      </c>
    </row>
    <row r="32" spans="1:8" ht="47.25" x14ac:dyDescent="0.25">
      <c r="A32" s="13" t="s">
        <v>83</v>
      </c>
      <c r="B32" s="22" t="s">
        <v>84</v>
      </c>
      <c r="C32" s="20" t="b">
        <v>0</v>
      </c>
      <c r="D32" s="20" t="b">
        <v>0</v>
      </c>
      <c r="E32" s="20" t="b">
        <v>0</v>
      </c>
      <c r="F32" s="20" t="b">
        <v>1</v>
      </c>
      <c r="G32" s="20" t="b">
        <v>0</v>
      </c>
      <c r="H32" s="21">
        <f t="shared" si="2"/>
        <v>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32"/>
  <sheetViews>
    <sheetView workbookViewId="0"/>
  </sheetViews>
  <sheetFormatPr defaultRowHeight="15.75" x14ac:dyDescent="0.25"/>
  <cols>
    <col min="1" max="1" width="18.625" customWidth="1"/>
    <col min="2" max="2" width="54.5" customWidth="1"/>
    <col min="3" max="3" width="8.625" customWidth="1"/>
    <col min="4" max="4" width="10.25" customWidth="1"/>
    <col min="5" max="5" width="8.625" customWidth="1"/>
    <col min="7" max="7" width="8.125" customWidth="1"/>
    <col min="8" max="8" width="14.625" customWidth="1"/>
    <col min="9" max="9" width="8.625" customWidth="1"/>
  </cols>
  <sheetData>
    <row r="1" spans="1:8" ht="40.5" x14ac:dyDescent="0.25">
      <c r="B1" s="13" t="s">
        <v>19</v>
      </c>
      <c r="C1" s="13" t="s">
        <v>20</v>
      </c>
      <c r="D1" s="13" t="s">
        <v>21</v>
      </c>
      <c r="E1" s="13" t="s">
        <v>22</v>
      </c>
      <c r="F1" s="13" t="s">
        <v>23</v>
      </c>
      <c r="G1" s="13" t="s">
        <v>24</v>
      </c>
      <c r="H1" s="14" t="s">
        <v>25</v>
      </c>
    </row>
    <row r="2" spans="1:8" ht="31.5" x14ac:dyDescent="0.25">
      <c r="A2" s="13" t="s">
        <v>26</v>
      </c>
      <c r="B2" s="19" t="s">
        <v>27</v>
      </c>
      <c r="C2" s="20" t="b">
        <v>0</v>
      </c>
      <c r="D2" s="20" t="b">
        <v>0</v>
      </c>
      <c r="E2" s="20" t="b">
        <v>0</v>
      </c>
      <c r="F2" s="20" t="b">
        <v>1</v>
      </c>
      <c r="G2" s="20" t="b">
        <v>0</v>
      </c>
      <c r="H2" s="21">
        <f t="shared" ref="H2:H9" si="0">IF(C2,1,0) + IF(D2,2,0) + IF(E2,3,0) + IF(F2,4,0) + IF(G2,5,0)</f>
        <v>4</v>
      </c>
    </row>
    <row r="3" spans="1:8" ht="31.5" x14ac:dyDescent="0.25">
      <c r="A3" s="13" t="s">
        <v>28</v>
      </c>
      <c r="B3" s="22" t="s">
        <v>29</v>
      </c>
      <c r="C3" s="20" t="b">
        <v>0</v>
      </c>
      <c r="D3" s="20" t="b">
        <v>0</v>
      </c>
      <c r="E3" s="20" t="b">
        <v>0</v>
      </c>
      <c r="F3" s="20" t="b">
        <v>1</v>
      </c>
      <c r="G3" s="20" t="b">
        <v>0</v>
      </c>
      <c r="H3" s="21">
        <f t="shared" si="0"/>
        <v>4</v>
      </c>
    </row>
    <row r="4" spans="1:8" ht="31.5" x14ac:dyDescent="0.25">
      <c r="A4" s="13" t="s">
        <v>30</v>
      </c>
      <c r="B4" s="22" t="s">
        <v>31</v>
      </c>
      <c r="C4" s="20" t="b">
        <v>0</v>
      </c>
      <c r="D4" s="20" t="b">
        <v>0</v>
      </c>
      <c r="E4" s="20" t="b">
        <v>0</v>
      </c>
      <c r="F4" s="20" t="b">
        <v>0</v>
      </c>
      <c r="G4" s="20" t="b">
        <v>1</v>
      </c>
      <c r="H4" s="21">
        <f t="shared" si="0"/>
        <v>5</v>
      </c>
    </row>
    <row r="5" spans="1:8" ht="31.5" x14ac:dyDescent="0.25">
      <c r="A5" s="13" t="s">
        <v>32</v>
      </c>
      <c r="B5" s="22" t="s">
        <v>33</v>
      </c>
      <c r="C5" s="20" t="b">
        <v>0</v>
      </c>
      <c r="D5" s="20" t="b">
        <v>0</v>
      </c>
      <c r="E5" s="20" t="b">
        <v>0</v>
      </c>
      <c r="F5" s="20" t="b">
        <v>1</v>
      </c>
      <c r="G5" s="20" t="b">
        <v>0</v>
      </c>
      <c r="H5" s="21">
        <f t="shared" si="0"/>
        <v>4</v>
      </c>
    </row>
    <row r="6" spans="1:8" ht="31.5" x14ac:dyDescent="0.25">
      <c r="A6" s="13" t="s">
        <v>34</v>
      </c>
      <c r="B6" s="22" t="s">
        <v>35</v>
      </c>
      <c r="C6" s="20" t="b">
        <v>0</v>
      </c>
      <c r="D6" s="20" t="b">
        <v>0</v>
      </c>
      <c r="E6" s="20" t="b">
        <v>0</v>
      </c>
      <c r="F6" s="20" t="b">
        <v>0</v>
      </c>
      <c r="G6" s="20" t="b">
        <v>1</v>
      </c>
      <c r="H6" s="21">
        <f t="shared" si="0"/>
        <v>5</v>
      </c>
    </row>
    <row r="7" spans="1:8" ht="31.5" x14ac:dyDescent="0.25">
      <c r="A7" s="13" t="s">
        <v>36</v>
      </c>
      <c r="B7" s="22" t="s">
        <v>37</v>
      </c>
      <c r="C7" s="20" t="b">
        <v>0</v>
      </c>
      <c r="D7" s="20" t="b">
        <v>0</v>
      </c>
      <c r="E7" s="20" t="b">
        <v>0</v>
      </c>
      <c r="F7" s="20" t="b">
        <v>1</v>
      </c>
      <c r="G7" s="20" t="b">
        <v>0</v>
      </c>
      <c r="H7" s="21">
        <f t="shared" si="0"/>
        <v>4</v>
      </c>
    </row>
    <row r="8" spans="1:8" ht="31.5" x14ac:dyDescent="0.25">
      <c r="A8" s="13" t="s">
        <v>38</v>
      </c>
      <c r="B8" s="22" t="s">
        <v>39</v>
      </c>
      <c r="C8" s="20" t="b">
        <v>0</v>
      </c>
      <c r="D8" s="20" t="b">
        <v>0</v>
      </c>
      <c r="E8" s="20" t="b">
        <v>0</v>
      </c>
      <c r="F8" s="20" t="b">
        <v>1</v>
      </c>
      <c r="G8" s="20" t="b">
        <v>0</v>
      </c>
      <c r="H8" s="21">
        <f t="shared" si="0"/>
        <v>4</v>
      </c>
    </row>
    <row r="9" spans="1:8" ht="31.5" x14ac:dyDescent="0.25">
      <c r="A9" s="13" t="s">
        <v>40</v>
      </c>
      <c r="B9" s="22" t="s">
        <v>41</v>
      </c>
      <c r="C9" s="20" t="b">
        <v>0</v>
      </c>
      <c r="D9" s="20" t="b">
        <v>0</v>
      </c>
      <c r="E9" s="20" t="b">
        <v>0</v>
      </c>
      <c r="F9" s="20" t="b">
        <v>0</v>
      </c>
      <c r="G9" s="20" t="b">
        <v>1</v>
      </c>
      <c r="H9" s="21">
        <f t="shared" si="0"/>
        <v>5</v>
      </c>
    </row>
    <row r="10" spans="1:8" ht="20.25" x14ac:dyDescent="0.25">
      <c r="A10" s="13"/>
      <c r="B10" s="13" t="s">
        <v>42</v>
      </c>
      <c r="C10" s="20" t="b">
        <v>0</v>
      </c>
      <c r="D10" s="20" t="b">
        <v>0</v>
      </c>
      <c r="E10" s="20" t="b">
        <v>0</v>
      </c>
      <c r="F10" s="20" t="b">
        <v>0</v>
      </c>
      <c r="G10" s="20" t="b">
        <v>0</v>
      </c>
      <c r="H10" s="21">
        <f>IF(C10=TRUE,1,0) + IF(D10=TRUE,2,0) + IF(E10=TRUE,3,0) + IF(F10=TRUE,4,0) + IF(G10=TRUE,5,0)</f>
        <v>0</v>
      </c>
    </row>
    <row r="11" spans="1:8" ht="47.25" x14ac:dyDescent="0.25">
      <c r="A11" s="13" t="s">
        <v>43</v>
      </c>
      <c r="B11" s="22" t="s">
        <v>44</v>
      </c>
      <c r="C11" s="20" t="b">
        <v>0</v>
      </c>
      <c r="D11" s="20" t="b">
        <v>0</v>
      </c>
      <c r="E11" s="20" t="b">
        <v>0</v>
      </c>
      <c r="F11" s="20" t="b">
        <v>1</v>
      </c>
      <c r="G11" s="20" t="b">
        <v>0</v>
      </c>
      <c r="H11" s="21">
        <f t="shared" ref="H11:H18" si="1">IF(C11,1,0) + IF(D11,2,0) + IF(E11,3,0) + IF(F11,4,0) + IF(G11,5,0)</f>
        <v>4</v>
      </c>
    </row>
    <row r="12" spans="1:8" ht="31.5" x14ac:dyDescent="0.25">
      <c r="A12" s="13" t="s">
        <v>45</v>
      </c>
      <c r="B12" s="22" t="s">
        <v>46</v>
      </c>
      <c r="C12" s="20" t="b">
        <v>0</v>
      </c>
      <c r="D12" s="20" t="b">
        <v>0</v>
      </c>
      <c r="E12" s="20" t="b">
        <v>0</v>
      </c>
      <c r="F12" s="20" t="b">
        <v>0</v>
      </c>
      <c r="G12" s="20" t="b">
        <v>1</v>
      </c>
      <c r="H12" s="21">
        <f t="shared" si="1"/>
        <v>5</v>
      </c>
    </row>
    <row r="13" spans="1:8" ht="47.25" x14ac:dyDescent="0.25">
      <c r="A13" s="13" t="s">
        <v>47</v>
      </c>
      <c r="B13" s="22" t="s">
        <v>48</v>
      </c>
      <c r="C13" s="20" t="b">
        <v>0</v>
      </c>
      <c r="D13" s="20" t="b">
        <v>0</v>
      </c>
      <c r="E13" s="20" t="b">
        <v>1</v>
      </c>
      <c r="F13" s="20" t="b">
        <v>0</v>
      </c>
      <c r="G13" s="20" t="b">
        <v>0</v>
      </c>
      <c r="H13" s="21">
        <f t="shared" si="1"/>
        <v>3</v>
      </c>
    </row>
    <row r="14" spans="1:8" ht="31.5" x14ac:dyDescent="0.25">
      <c r="A14" s="13" t="s">
        <v>49</v>
      </c>
      <c r="B14" s="22" t="s">
        <v>50</v>
      </c>
      <c r="C14" s="20" t="b">
        <v>0</v>
      </c>
      <c r="D14" s="20" t="b">
        <v>0</v>
      </c>
      <c r="E14" s="20" t="b">
        <v>0</v>
      </c>
      <c r="F14" s="20" t="b">
        <v>1</v>
      </c>
      <c r="G14" s="20" t="b">
        <v>0</v>
      </c>
      <c r="H14" s="21">
        <f t="shared" si="1"/>
        <v>4</v>
      </c>
    </row>
    <row r="15" spans="1:8" ht="31.5" x14ac:dyDescent="0.25">
      <c r="A15" s="13" t="s">
        <v>51</v>
      </c>
      <c r="B15" s="22" t="s">
        <v>52</v>
      </c>
      <c r="C15" s="20" t="b">
        <v>0</v>
      </c>
      <c r="D15" s="20" t="b">
        <v>0</v>
      </c>
      <c r="E15" s="20" t="b">
        <v>0</v>
      </c>
      <c r="F15" s="20" t="b">
        <v>1</v>
      </c>
      <c r="G15" s="20" t="b">
        <v>0</v>
      </c>
      <c r="H15" s="21">
        <f t="shared" si="1"/>
        <v>4</v>
      </c>
    </row>
    <row r="16" spans="1:8" ht="31.5" x14ac:dyDescent="0.25">
      <c r="A16" s="13" t="s">
        <v>53</v>
      </c>
      <c r="B16" s="22" t="s">
        <v>54</v>
      </c>
      <c r="C16" s="20" t="b">
        <v>0</v>
      </c>
      <c r="D16" s="20" t="b">
        <v>0</v>
      </c>
      <c r="E16" s="20" t="b">
        <v>0</v>
      </c>
      <c r="F16" s="20" t="b">
        <v>1</v>
      </c>
      <c r="G16" s="20" t="b">
        <v>0</v>
      </c>
      <c r="H16" s="21">
        <f t="shared" si="1"/>
        <v>4</v>
      </c>
    </row>
    <row r="17" spans="1:8" ht="31.5" x14ac:dyDescent="0.25">
      <c r="A17" s="13" t="s">
        <v>55</v>
      </c>
      <c r="B17" s="22" t="s">
        <v>56</v>
      </c>
      <c r="C17" s="20" t="b">
        <v>0</v>
      </c>
      <c r="D17" s="20" t="b">
        <v>0</v>
      </c>
      <c r="E17" s="20" t="b">
        <v>0</v>
      </c>
      <c r="F17" s="20" t="b">
        <v>1</v>
      </c>
      <c r="G17" s="20" t="b">
        <v>0</v>
      </c>
      <c r="H17" s="21">
        <f t="shared" si="1"/>
        <v>4</v>
      </c>
    </row>
    <row r="18" spans="1:8" ht="47.25" x14ac:dyDescent="0.25">
      <c r="A18" s="13" t="s">
        <v>57</v>
      </c>
      <c r="B18" s="22" t="s">
        <v>58</v>
      </c>
      <c r="C18" s="20" t="b">
        <v>0</v>
      </c>
      <c r="D18" s="20" t="b">
        <v>0</v>
      </c>
      <c r="E18" s="20" t="b">
        <v>0</v>
      </c>
      <c r="F18" s="20" t="b">
        <v>1</v>
      </c>
      <c r="G18" s="20" t="b">
        <v>0</v>
      </c>
      <c r="H18" s="21">
        <f t="shared" si="1"/>
        <v>4</v>
      </c>
    </row>
    <row r="19" spans="1:8" ht="20.25" x14ac:dyDescent="0.25">
      <c r="A19" s="13"/>
      <c r="B19" s="13" t="s">
        <v>59</v>
      </c>
      <c r="C19" s="20" t="b">
        <v>0</v>
      </c>
      <c r="D19" s="20" t="b">
        <v>0</v>
      </c>
      <c r="E19" s="20" t="b">
        <v>0</v>
      </c>
      <c r="F19" s="20" t="b">
        <v>0</v>
      </c>
      <c r="G19" s="20" t="b">
        <v>0</v>
      </c>
      <c r="H19" s="21">
        <f>IF(C19=TRUE,1,0) + IF(D19=TRUE,2,0) + IF(E19=TRUE,3,0) + IF(F19=TRUE,4,0) + IF(G19=TRUE,5,0)</f>
        <v>0</v>
      </c>
    </row>
    <row r="20" spans="1:8" ht="31.5" x14ac:dyDescent="0.25">
      <c r="A20" s="13" t="s">
        <v>60</v>
      </c>
      <c r="B20" s="22" t="s">
        <v>61</v>
      </c>
      <c r="C20" s="20" t="b">
        <v>0</v>
      </c>
      <c r="D20" s="20" t="b">
        <v>0</v>
      </c>
      <c r="E20" s="20" t="b">
        <v>0</v>
      </c>
      <c r="F20" s="20" t="b">
        <v>1</v>
      </c>
      <c r="G20" s="20" t="b">
        <v>0</v>
      </c>
      <c r="H20" s="21">
        <f>IF(C20,1,0) + IF(D20,2,0) + IF(E20,3,0) + IF(F20,4,0) + IF(G20,5,0)</f>
        <v>4</v>
      </c>
    </row>
    <row r="21" spans="1:8" ht="31.5" x14ac:dyDescent="0.25">
      <c r="A21" s="13" t="s">
        <v>62</v>
      </c>
      <c r="B21" s="22" t="s">
        <v>63</v>
      </c>
      <c r="C21" s="20" t="b">
        <v>0</v>
      </c>
      <c r="D21" s="20" t="b">
        <v>0</v>
      </c>
      <c r="E21" s="20" t="b">
        <v>1</v>
      </c>
      <c r="F21" s="20" t="b">
        <v>0</v>
      </c>
      <c r="G21" s="20" t="b">
        <v>0</v>
      </c>
      <c r="H21" s="21">
        <f>IF(C21,1,0) + IF(D21,2,0) + IF(E21,3,0) + IF(F21,4,0) + IF(G21,5,0)</f>
        <v>3</v>
      </c>
    </row>
    <row r="22" spans="1:8" ht="47.25" x14ac:dyDescent="0.25">
      <c r="A22" s="13" t="s">
        <v>64</v>
      </c>
      <c r="B22" s="22" t="s">
        <v>65</v>
      </c>
      <c r="C22" s="20" t="b">
        <v>0</v>
      </c>
      <c r="D22" s="20" t="b">
        <v>0</v>
      </c>
      <c r="E22" s="20" t="b">
        <v>0</v>
      </c>
      <c r="F22" s="20" t="b">
        <v>0</v>
      </c>
      <c r="G22" s="20" t="b">
        <v>1</v>
      </c>
      <c r="H22" s="21">
        <f>IF(C22,1,0) + IF(D22,2,0) + IF(E22,3,0) + IF(F22,4,0) + IF(G22,5,0)</f>
        <v>5</v>
      </c>
    </row>
    <row r="23" spans="1:8" ht="31.5" x14ac:dyDescent="0.25">
      <c r="A23" s="13" t="s">
        <v>66</v>
      </c>
      <c r="B23" s="22" t="s">
        <v>67</v>
      </c>
      <c r="C23" s="20" t="b">
        <v>0</v>
      </c>
      <c r="D23" s="20" t="b">
        <v>0</v>
      </c>
      <c r="E23" s="20" t="b">
        <v>1</v>
      </c>
      <c r="F23" s="20" t="b">
        <v>0</v>
      </c>
      <c r="G23" s="20" t="b">
        <v>0</v>
      </c>
      <c r="H23" s="21">
        <f>IF(C23,1,0) + IF(D23,2,0) + IF(E23,3,0) + IF(F23,4,0) + IF(G23,5,0)</f>
        <v>3</v>
      </c>
    </row>
    <row r="24" spans="1:8" ht="20.25" x14ac:dyDescent="0.25">
      <c r="A24" s="13"/>
      <c r="B24" s="13" t="s">
        <v>68</v>
      </c>
      <c r="C24" s="20" t="b">
        <v>0</v>
      </c>
      <c r="D24" s="20" t="b">
        <v>0</v>
      </c>
      <c r="E24" s="20" t="b">
        <v>0</v>
      </c>
      <c r="F24" s="20" t="b">
        <v>0</v>
      </c>
      <c r="G24" s="20" t="b">
        <v>0</v>
      </c>
      <c r="H24" s="21">
        <f>IF(C24=TRUE,1,0) + IF(D24=TRUE,2,0) + IF(E24=TRUE,3,0) + IF(F24=TRUE,4,0) + IF(G24=TRUE,5,0)</f>
        <v>0</v>
      </c>
    </row>
    <row r="25" spans="1:8" ht="31.5" x14ac:dyDescent="0.25">
      <c r="A25" s="13" t="s">
        <v>69</v>
      </c>
      <c r="B25" s="22" t="s">
        <v>70</v>
      </c>
      <c r="C25" s="20" t="b">
        <v>0</v>
      </c>
      <c r="D25" s="20" t="b">
        <v>0</v>
      </c>
      <c r="E25" s="20" t="b">
        <v>0</v>
      </c>
      <c r="F25" s="20" t="b">
        <v>1</v>
      </c>
      <c r="G25" s="20" t="b">
        <v>0</v>
      </c>
      <c r="H25" s="21">
        <f t="shared" ref="H25:H32" si="2">IF(C25,1,0) + IF(D25,2,0) + IF(E25,3,0) + IF(F25,4,0) + IF(G25,5,0)</f>
        <v>4</v>
      </c>
    </row>
    <row r="26" spans="1:8" ht="31.5" x14ac:dyDescent="0.25">
      <c r="A26" s="13" t="s">
        <v>71</v>
      </c>
      <c r="B26" s="22" t="s">
        <v>72</v>
      </c>
      <c r="C26" s="20" t="b">
        <v>0</v>
      </c>
      <c r="D26" s="20" t="b">
        <v>0</v>
      </c>
      <c r="E26" s="20" t="b">
        <v>0</v>
      </c>
      <c r="F26" s="20" t="b">
        <v>1</v>
      </c>
      <c r="G26" s="20" t="b">
        <v>0</v>
      </c>
      <c r="H26" s="21">
        <f t="shared" si="2"/>
        <v>4</v>
      </c>
    </row>
    <row r="27" spans="1:8" ht="31.5" x14ac:dyDescent="0.25">
      <c r="A27" s="13" t="s">
        <v>73</v>
      </c>
      <c r="B27" s="22" t="s">
        <v>74</v>
      </c>
      <c r="C27" s="20" t="b">
        <v>0</v>
      </c>
      <c r="D27" s="20" t="b">
        <v>0</v>
      </c>
      <c r="E27" s="20" t="b">
        <v>0</v>
      </c>
      <c r="F27" s="20" t="b">
        <v>0</v>
      </c>
      <c r="G27" s="20" t="b">
        <v>1</v>
      </c>
      <c r="H27" s="21">
        <f t="shared" si="2"/>
        <v>5</v>
      </c>
    </row>
    <row r="28" spans="1:8" ht="31.5" x14ac:dyDescent="0.25">
      <c r="A28" s="13" t="s">
        <v>75</v>
      </c>
      <c r="B28" s="19" t="s">
        <v>76</v>
      </c>
      <c r="C28" s="20" t="b">
        <v>0</v>
      </c>
      <c r="D28" s="20" t="b">
        <v>0</v>
      </c>
      <c r="E28" s="20" t="b">
        <v>0</v>
      </c>
      <c r="F28" s="20" t="b">
        <v>1</v>
      </c>
      <c r="G28" s="20" t="b">
        <v>0</v>
      </c>
      <c r="H28" s="21">
        <f t="shared" si="2"/>
        <v>4</v>
      </c>
    </row>
    <row r="29" spans="1:8" ht="47.25" x14ac:dyDescent="0.25">
      <c r="A29" s="13" t="s">
        <v>77</v>
      </c>
      <c r="B29" s="19" t="s">
        <v>78</v>
      </c>
      <c r="C29" s="20" t="b">
        <v>0</v>
      </c>
      <c r="D29" s="20" t="b">
        <v>0</v>
      </c>
      <c r="E29" s="20" t="b">
        <v>0</v>
      </c>
      <c r="F29" s="20" t="b">
        <v>1</v>
      </c>
      <c r="G29" s="20" t="b">
        <v>0</v>
      </c>
      <c r="H29" s="21">
        <f t="shared" si="2"/>
        <v>4</v>
      </c>
    </row>
    <row r="30" spans="1:8" ht="31.5" x14ac:dyDescent="0.25">
      <c r="A30" s="13" t="s">
        <v>79</v>
      </c>
      <c r="B30" s="22" t="s">
        <v>80</v>
      </c>
      <c r="C30" s="20" t="b">
        <v>0</v>
      </c>
      <c r="D30" s="20" t="b">
        <v>0</v>
      </c>
      <c r="E30" s="20" t="b">
        <v>0</v>
      </c>
      <c r="F30" s="20" t="b">
        <v>1</v>
      </c>
      <c r="G30" s="20" t="b">
        <v>0</v>
      </c>
      <c r="H30" s="21">
        <f t="shared" si="2"/>
        <v>4</v>
      </c>
    </row>
    <row r="31" spans="1:8" ht="31.5" x14ac:dyDescent="0.25">
      <c r="A31" s="13" t="s">
        <v>81</v>
      </c>
      <c r="B31" s="22" t="s">
        <v>82</v>
      </c>
      <c r="C31" s="20" t="b">
        <v>0</v>
      </c>
      <c r="D31" s="20" t="b">
        <v>0</v>
      </c>
      <c r="E31" s="20" t="b">
        <v>1</v>
      </c>
      <c r="F31" s="20" t="b">
        <v>0</v>
      </c>
      <c r="G31" s="20" t="b">
        <v>0</v>
      </c>
      <c r="H31" s="21">
        <f t="shared" si="2"/>
        <v>3</v>
      </c>
    </row>
    <row r="32" spans="1:8" ht="47.25" x14ac:dyDescent="0.25">
      <c r="A32" s="13" t="s">
        <v>83</v>
      </c>
      <c r="B32" s="22" t="s">
        <v>84</v>
      </c>
      <c r="C32" s="20" t="b">
        <v>0</v>
      </c>
      <c r="D32" s="20" t="b">
        <v>0</v>
      </c>
      <c r="E32" s="20" t="b">
        <v>0</v>
      </c>
      <c r="F32" s="20" t="b">
        <v>1</v>
      </c>
      <c r="G32" s="20" t="b">
        <v>0</v>
      </c>
      <c r="H32" s="21">
        <f t="shared" si="2"/>
        <v>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H32"/>
  <sheetViews>
    <sheetView workbookViewId="0"/>
  </sheetViews>
  <sheetFormatPr defaultRowHeight="15.75" x14ac:dyDescent="0.25"/>
  <cols>
    <col min="1" max="1" width="18.625" customWidth="1"/>
    <col min="2" max="2" width="54.5" customWidth="1"/>
    <col min="3" max="3" width="8.625" customWidth="1"/>
    <col min="4" max="4" width="10.25" customWidth="1"/>
    <col min="5" max="5" width="8.625" customWidth="1"/>
    <col min="7" max="7" width="8.125" customWidth="1"/>
    <col min="8" max="8" width="14.625" customWidth="1"/>
    <col min="9" max="9" width="8.625" customWidth="1"/>
  </cols>
  <sheetData>
    <row r="1" spans="1:8" ht="40.5" x14ac:dyDescent="0.25">
      <c r="B1" s="13" t="s">
        <v>19</v>
      </c>
      <c r="C1" s="13" t="s">
        <v>20</v>
      </c>
      <c r="D1" s="13" t="s">
        <v>21</v>
      </c>
      <c r="E1" s="13" t="s">
        <v>22</v>
      </c>
      <c r="F1" s="13" t="s">
        <v>23</v>
      </c>
      <c r="G1" s="13" t="s">
        <v>24</v>
      </c>
      <c r="H1" s="14" t="s">
        <v>25</v>
      </c>
    </row>
    <row r="2" spans="1:8" ht="31.5" x14ac:dyDescent="0.25">
      <c r="A2" s="13" t="s">
        <v>26</v>
      </c>
      <c r="B2" s="19" t="s">
        <v>27</v>
      </c>
      <c r="C2" s="20" t="b">
        <v>0</v>
      </c>
      <c r="D2" s="20" t="b">
        <v>0</v>
      </c>
      <c r="E2" s="20" t="b">
        <v>0</v>
      </c>
      <c r="F2" s="20" t="b">
        <v>0</v>
      </c>
      <c r="G2" s="20" t="b">
        <v>1</v>
      </c>
      <c r="H2" s="21">
        <f t="shared" ref="H2:H9" si="0">IF(C2,1,0) + IF(D2,2,0) + IF(E2,3,0) + IF(F2,4,0) + IF(G2,5,0)</f>
        <v>5</v>
      </c>
    </row>
    <row r="3" spans="1:8" ht="31.5" x14ac:dyDescent="0.25">
      <c r="A3" s="13" t="s">
        <v>28</v>
      </c>
      <c r="B3" s="22" t="s">
        <v>29</v>
      </c>
      <c r="C3" s="20" t="b">
        <v>0</v>
      </c>
      <c r="D3" s="20" t="b">
        <v>0</v>
      </c>
      <c r="E3" s="20" t="b">
        <v>0</v>
      </c>
      <c r="F3" s="20" t="b">
        <v>0</v>
      </c>
      <c r="G3" s="20" t="b">
        <v>1</v>
      </c>
      <c r="H3" s="21">
        <f t="shared" si="0"/>
        <v>5</v>
      </c>
    </row>
    <row r="4" spans="1:8" ht="31.5" x14ac:dyDescent="0.25">
      <c r="A4" s="13" t="s">
        <v>30</v>
      </c>
      <c r="B4" s="22" t="s">
        <v>31</v>
      </c>
      <c r="C4" s="20" t="b">
        <v>0</v>
      </c>
      <c r="D4" s="20" t="b">
        <v>0</v>
      </c>
      <c r="E4" s="20" t="b">
        <v>0</v>
      </c>
      <c r="F4" s="20" t="b">
        <v>1</v>
      </c>
      <c r="G4" s="20" t="b">
        <v>0</v>
      </c>
      <c r="H4" s="21">
        <f t="shared" si="0"/>
        <v>4</v>
      </c>
    </row>
    <row r="5" spans="1:8" ht="31.5" x14ac:dyDescent="0.25">
      <c r="A5" s="13" t="s">
        <v>32</v>
      </c>
      <c r="B5" s="22" t="s">
        <v>33</v>
      </c>
      <c r="C5" s="20" t="b">
        <v>0</v>
      </c>
      <c r="D5" s="20" t="b">
        <v>0</v>
      </c>
      <c r="E5" s="20" t="b">
        <v>0</v>
      </c>
      <c r="F5" s="20" t="b">
        <v>1</v>
      </c>
      <c r="G5" s="20" t="b">
        <v>0</v>
      </c>
      <c r="H5" s="21">
        <f t="shared" si="0"/>
        <v>4</v>
      </c>
    </row>
    <row r="6" spans="1:8" ht="31.5" x14ac:dyDescent="0.25">
      <c r="A6" s="13" t="s">
        <v>34</v>
      </c>
      <c r="B6" s="22" t="s">
        <v>35</v>
      </c>
      <c r="C6" s="20" t="b">
        <v>0</v>
      </c>
      <c r="D6" s="20" t="b">
        <v>0</v>
      </c>
      <c r="E6" s="20" t="b">
        <v>0</v>
      </c>
      <c r="F6" s="20" t="b">
        <v>0</v>
      </c>
      <c r="G6" s="20" t="b">
        <v>1</v>
      </c>
      <c r="H6" s="21">
        <f t="shared" si="0"/>
        <v>5</v>
      </c>
    </row>
    <row r="7" spans="1:8" ht="31.5" x14ac:dyDescent="0.25">
      <c r="A7" s="13" t="s">
        <v>36</v>
      </c>
      <c r="B7" s="22" t="s">
        <v>37</v>
      </c>
      <c r="C7" s="20" t="b">
        <v>0</v>
      </c>
      <c r="D7" s="20" t="b">
        <v>0</v>
      </c>
      <c r="E7" s="20" t="b">
        <v>0</v>
      </c>
      <c r="F7" s="20" t="b">
        <v>0</v>
      </c>
      <c r="G7" s="20" t="b">
        <v>1</v>
      </c>
      <c r="H7" s="21">
        <f t="shared" si="0"/>
        <v>5</v>
      </c>
    </row>
    <row r="8" spans="1:8" ht="31.5" x14ac:dyDescent="0.25">
      <c r="A8" s="13" t="s">
        <v>38</v>
      </c>
      <c r="B8" s="22" t="s">
        <v>39</v>
      </c>
      <c r="C8" s="20" t="b">
        <v>0</v>
      </c>
      <c r="D8" s="20" t="b">
        <v>0</v>
      </c>
      <c r="E8" s="20" t="b">
        <v>0</v>
      </c>
      <c r="F8" s="20" t="b">
        <v>1</v>
      </c>
      <c r="G8" s="20" t="b">
        <v>0</v>
      </c>
      <c r="H8" s="21">
        <f t="shared" si="0"/>
        <v>4</v>
      </c>
    </row>
    <row r="9" spans="1:8" ht="31.5" x14ac:dyDescent="0.25">
      <c r="A9" s="13" t="s">
        <v>40</v>
      </c>
      <c r="B9" s="22" t="s">
        <v>41</v>
      </c>
      <c r="C9" s="20" t="b">
        <v>0</v>
      </c>
      <c r="D9" s="20" t="b">
        <v>0</v>
      </c>
      <c r="E9" s="20" t="b">
        <v>0</v>
      </c>
      <c r="F9" s="20" t="b">
        <v>1</v>
      </c>
      <c r="G9" s="20" t="b">
        <v>0</v>
      </c>
      <c r="H9" s="21">
        <f t="shared" si="0"/>
        <v>4</v>
      </c>
    </row>
    <row r="10" spans="1:8" ht="20.25" x14ac:dyDescent="0.25">
      <c r="A10" s="13"/>
      <c r="B10" s="13" t="s">
        <v>42</v>
      </c>
      <c r="C10" s="20" t="b">
        <v>0</v>
      </c>
      <c r="D10" s="20" t="b">
        <v>0</v>
      </c>
      <c r="E10" s="20" t="b">
        <v>0</v>
      </c>
      <c r="F10" s="20" t="b">
        <v>0</v>
      </c>
      <c r="G10" s="20" t="b">
        <v>0</v>
      </c>
      <c r="H10" s="21">
        <f>IF(C10=TRUE,1,0) + IF(D10=TRUE,2,0) + IF(E10=TRUE,3,0) + IF(F10=TRUE,4,0) + IF(G10=TRUE,5,0)</f>
        <v>0</v>
      </c>
    </row>
    <row r="11" spans="1:8" ht="47.25" x14ac:dyDescent="0.25">
      <c r="A11" s="13" t="s">
        <v>43</v>
      </c>
      <c r="B11" s="22" t="s">
        <v>44</v>
      </c>
      <c r="C11" s="20" t="b">
        <v>0</v>
      </c>
      <c r="D11" s="20" t="b">
        <v>0</v>
      </c>
      <c r="E11" s="20" t="b">
        <v>0</v>
      </c>
      <c r="F11" s="20" t="b">
        <v>1</v>
      </c>
      <c r="G11" s="20" t="b">
        <v>0</v>
      </c>
      <c r="H11" s="21">
        <f t="shared" ref="H11:H18" si="1">IF(C11,1,0) + IF(D11,2,0) + IF(E11,3,0) + IF(F11,4,0) + IF(G11,5,0)</f>
        <v>4</v>
      </c>
    </row>
    <row r="12" spans="1:8" ht="31.5" x14ac:dyDescent="0.25">
      <c r="A12" s="13" t="s">
        <v>45</v>
      </c>
      <c r="B12" s="22" t="s">
        <v>46</v>
      </c>
      <c r="C12" s="20" t="b">
        <v>0</v>
      </c>
      <c r="D12" s="20" t="b">
        <v>0</v>
      </c>
      <c r="E12" s="20" t="b">
        <v>0</v>
      </c>
      <c r="F12" s="20" t="b">
        <v>1</v>
      </c>
      <c r="G12" s="20" t="b">
        <v>0</v>
      </c>
      <c r="H12" s="21">
        <f t="shared" si="1"/>
        <v>4</v>
      </c>
    </row>
    <row r="13" spans="1:8" ht="47.25" x14ac:dyDescent="0.25">
      <c r="A13" s="13" t="s">
        <v>47</v>
      </c>
      <c r="B13" s="22" t="s">
        <v>48</v>
      </c>
      <c r="C13" s="20" t="b">
        <v>0</v>
      </c>
      <c r="D13" s="20" t="b">
        <v>0</v>
      </c>
      <c r="E13" s="20" t="b">
        <v>0</v>
      </c>
      <c r="F13" s="20" t="b">
        <v>1</v>
      </c>
      <c r="G13" s="20" t="b">
        <v>0</v>
      </c>
      <c r="H13" s="21">
        <f t="shared" si="1"/>
        <v>4</v>
      </c>
    </row>
    <row r="14" spans="1:8" ht="31.5" x14ac:dyDescent="0.25">
      <c r="A14" s="13" t="s">
        <v>49</v>
      </c>
      <c r="B14" s="22" t="s">
        <v>50</v>
      </c>
      <c r="C14" s="20" t="b">
        <v>0</v>
      </c>
      <c r="D14" s="20" t="b">
        <v>0</v>
      </c>
      <c r="E14" s="20" t="b">
        <v>0</v>
      </c>
      <c r="F14" s="20" t="b">
        <v>0</v>
      </c>
      <c r="G14" s="20" t="b">
        <v>1</v>
      </c>
      <c r="H14" s="21">
        <f t="shared" si="1"/>
        <v>5</v>
      </c>
    </row>
    <row r="15" spans="1:8" ht="31.5" x14ac:dyDescent="0.25">
      <c r="A15" s="13" t="s">
        <v>51</v>
      </c>
      <c r="B15" s="22" t="s">
        <v>52</v>
      </c>
      <c r="C15" s="20" t="b">
        <v>0</v>
      </c>
      <c r="D15" s="20" t="b">
        <v>0</v>
      </c>
      <c r="E15" s="20" t="b">
        <v>0</v>
      </c>
      <c r="F15" s="20" t="b">
        <v>1</v>
      </c>
      <c r="G15" s="20" t="b">
        <v>0</v>
      </c>
      <c r="H15" s="21">
        <f t="shared" si="1"/>
        <v>4</v>
      </c>
    </row>
    <row r="16" spans="1:8" ht="31.5" x14ac:dyDescent="0.25">
      <c r="A16" s="13" t="s">
        <v>53</v>
      </c>
      <c r="B16" s="22" t="s">
        <v>54</v>
      </c>
      <c r="C16" s="20" t="b">
        <v>0</v>
      </c>
      <c r="D16" s="20" t="b">
        <v>0</v>
      </c>
      <c r="E16" s="20" t="b">
        <v>0</v>
      </c>
      <c r="F16" s="20" t="b">
        <v>0</v>
      </c>
      <c r="G16" s="20" t="b">
        <v>1</v>
      </c>
      <c r="H16" s="21">
        <f t="shared" si="1"/>
        <v>5</v>
      </c>
    </row>
    <row r="17" spans="1:8" ht="31.5" x14ac:dyDescent="0.25">
      <c r="A17" s="13" t="s">
        <v>55</v>
      </c>
      <c r="B17" s="22" t="s">
        <v>56</v>
      </c>
      <c r="C17" s="20" t="b">
        <v>0</v>
      </c>
      <c r="D17" s="20" t="b">
        <v>0</v>
      </c>
      <c r="E17" s="20" t="b">
        <v>0</v>
      </c>
      <c r="F17" s="20" t="b">
        <v>0</v>
      </c>
      <c r="G17" s="20" t="b">
        <v>1</v>
      </c>
      <c r="H17" s="21">
        <f t="shared" si="1"/>
        <v>5</v>
      </c>
    </row>
    <row r="18" spans="1:8" ht="47.25" x14ac:dyDescent="0.25">
      <c r="A18" s="13" t="s">
        <v>57</v>
      </c>
      <c r="B18" s="22" t="s">
        <v>58</v>
      </c>
      <c r="C18" s="20" t="b">
        <v>0</v>
      </c>
      <c r="D18" s="20" t="b">
        <v>0</v>
      </c>
      <c r="E18" s="20" t="b">
        <v>1</v>
      </c>
      <c r="F18" s="20" t="b">
        <v>0</v>
      </c>
      <c r="G18" s="20" t="b">
        <v>0</v>
      </c>
      <c r="H18" s="21">
        <f t="shared" si="1"/>
        <v>3</v>
      </c>
    </row>
    <row r="19" spans="1:8" ht="20.25" x14ac:dyDescent="0.25">
      <c r="A19" s="13"/>
      <c r="B19" s="13" t="s">
        <v>59</v>
      </c>
      <c r="C19" s="20" t="b">
        <v>0</v>
      </c>
      <c r="D19" s="20" t="b">
        <v>0</v>
      </c>
      <c r="E19" s="20" t="b">
        <v>0</v>
      </c>
      <c r="F19" s="20" t="b">
        <v>0</v>
      </c>
      <c r="G19" s="20" t="b">
        <v>0</v>
      </c>
      <c r="H19" s="21">
        <f>IF(C19=TRUE,1,0) + IF(D19=TRUE,2,0) + IF(E19=TRUE,3,0) + IF(F19=TRUE,4,0) + IF(G19=TRUE,5,0)</f>
        <v>0</v>
      </c>
    </row>
    <row r="20" spans="1:8" ht="31.5" x14ac:dyDescent="0.25">
      <c r="A20" s="13" t="s">
        <v>60</v>
      </c>
      <c r="B20" s="22" t="s">
        <v>61</v>
      </c>
      <c r="C20" s="20" t="b">
        <v>0</v>
      </c>
      <c r="D20" s="20" t="b">
        <v>0</v>
      </c>
      <c r="E20" s="20" t="b">
        <v>0</v>
      </c>
      <c r="F20" s="20" t="b">
        <v>1</v>
      </c>
      <c r="G20" s="20" t="b">
        <v>0</v>
      </c>
      <c r="H20" s="21">
        <f>IF(C20,1,0) + IF(D20,2,0) + IF(E20,3,0) + IF(F20,4,0) + IF(G20,5,0)</f>
        <v>4</v>
      </c>
    </row>
    <row r="21" spans="1:8" ht="31.5" x14ac:dyDescent="0.25">
      <c r="A21" s="13" t="s">
        <v>62</v>
      </c>
      <c r="B21" s="22" t="s">
        <v>63</v>
      </c>
      <c r="C21" s="20" t="b">
        <v>0</v>
      </c>
      <c r="D21" s="20" t="b">
        <v>0</v>
      </c>
      <c r="E21" s="20" t="b">
        <v>0</v>
      </c>
      <c r="F21" s="20" t="b">
        <v>1</v>
      </c>
      <c r="G21" s="20" t="b">
        <v>0</v>
      </c>
      <c r="H21" s="21">
        <f>IF(C21,1,0) + IF(D21,2,0) + IF(E21,3,0) + IF(F21,4,0) + IF(G21,5,0)</f>
        <v>4</v>
      </c>
    </row>
    <row r="22" spans="1:8" ht="47.25" x14ac:dyDescent="0.25">
      <c r="A22" s="13" t="s">
        <v>64</v>
      </c>
      <c r="B22" s="22" t="s">
        <v>65</v>
      </c>
      <c r="C22" s="20" t="b">
        <v>0</v>
      </c>
      <c r="D22" s="20" t="b">
        <v>0</v>
      </c>
      <c r="E22" s="20" t="b">
        <v>0</v>
      </c>
      <c r="F22" s="20" t="b">
        <v>1</v>
      </c>
      <c r="G22" s="20" t="b">
        <v>0</v>
      </c>
      <c r="H22" s="21">
        <f>IF(C22,1,0) + IF(D22,2,0) + IF(E22,3,0) + IF(F22,4,0) + IF(G22,5,0)</f>
        <v>4</v>
      </c>
    </row>
    <row r="23" spans="1:8" ht="31.5" x14ac:dyDescent="0.25">
      <c r="A23" s="13" t="s">
        <v>66</v>
      </c>
      <c r="B23" s="22" t="s">
        <v>67</v>
      </c>
      <c r="C23" s="20" t="b">
        <v>0</v>
      </c>
      <c r="D23" s="20" t="b">
        <v>0</v>
      </c>
      <c r="E23" s="20" t="b">
        <v>1</v>
      </c>
      <c r="F23" s="20" t="b">
        <v>0</v>
      </c>
      <c r="G23" s="20" t="b">
        <v>0</v>
      </c>
      <c r="H23" s="21">
        <f>IF(C23,1,0) + IF(D23,2,0) + IF(E23,3,0) + IF(F23,4,0) + IF(G23,5,0)</f>
        <v>3</v>
      </c>
    </row>
    <row r="24" spans="1:8" ht="20.25" x14ac:dyDescent="0.25">
      <c r="A24" s="13"/>
      <c r="B24" s="13" t="s">
        <v>68</v>
      </c>
      <c r="C24" s="20" t="b">
        <v>0</v>
      </c>
      <c r="D24" s="20" t="b">
        <v>0</v>
      </c>
      <c r="E24" s="20" t="b">
        <v>0</v>
      </c>
      <c r="F24" s="20" t="b">
        <v>0</v>
      </c>
      <c r="G24" s="20" t="b">
        <v>0</v>
      </c>
      <c r="H24" s="21">
        <f>IF(C24=TRUE,1,0) + IF(D24=TRUE,2,0) + IF(E24=TRUE,3,0) + IF(F24=TRUE,4,0) + IF(G24=TRUE,5,0)</f>
        <v>0</v>
      </c>
    </row>
    <row r="25" spans="1:8" ht="31.5" x14ac:dyDescent="0.25">
      <c r="A25" s="13" t="s">
        <v>69</v>
      </c>
      <c r="B25" s="22" t="s">
        <v>70</v>
      </c>
      <c r="C25" s="20" t="b">
        <v>0</v>
      </c>
      <c r="D25" s="20" t="b">
        <v>0</v>
      </c>
      <c r="E25" s="20" t="b">
        <v>0</v>
      </c>
      <c r="F25" s="20" t="b">
        <v>1</v>
      </c>
      <c r="G25" s="20" t="b">
        <v>0</v>
      </c>
      <c r="H25" s="21">
        <f t="shared" ref="H25:H32" si="2">IF(C25,1,0) + IF(D25,2,0) + IF(E25,3,0) + IF(F25,4,0) + IF(G25,5,0)</f>
        <v>4</v>
      </c>
    </row>
    <row r="26" spans="1:8" ht="31.5" x14ac:dyDescent="0.25">
      <c r="A26" s="13" t="s">
        <v>71</v>
      </c>
      <c r="B26" s="22" t="s">
        <v>72</v>
      </c>
      <c r="C26" s="20" t="b">
        <v>1</v>
      </c>
      <c r="D26" s="20" t="b">
        <v>0</v>
      </c>
      <c r="E26" s="20" t="b">
        <v>0</v>
      </c>
      <c r="F26" s="20" t="b">
        <v>0</v>
      </c>
      <c r="G26" s="20" t="b">
        <v>0</v>
      </c>
      <c r="H26" s="21">
        <f t="shared" si="2"/>
        <v>1</v>
      </c>
    </row>
    <row r="27" spans="1:8" ht="31.5" x14ac:dyDescent="0.25">
      <c r="A27" s="13" t="s">
        <v>73</v>
      </c>
      <c r="B27" s="22" t="s">
        <v>74</v>
      </c>
      <c r="C27" s="20" t="b">
        <v>0</v>
      </c>
      <c r="D27" s="20" t="b">
        <v>0</v>
      </c>
      <c r="E27" s="20" t="b">
        <v>0</v>
      </c>
      <c r="F27" s="20" t="b">
        <v>1</v>
      </c>
      <c r="G27" s="20" t="b">
        <v>0</v>
      </c>
      <c r="H27" s="21">
        <f t="shared" si="2"/>
        <v>4</v>
      </c>
    </row>
    <row r="28" spans="1:8" ht="31.5" x14ac:dyDescent="0.25">
      <c r="A28" s="13" t="s">
        <v>75</v>
      </c>
      <c r="B28" s="19" t="s">
        <v>76</v>
      </c>
      <c r="C28" s="20" t="b">
        <v>0</v>
      </c>
      <c r="D28" s="20" t="b">
        <v>0</v>
      </c>
      <c r="E28" s="20" t="b">
        <v>0</v>
      </c>
      <c r="F28" s="20" t="b">
        <v>1</v>
      </c>
      <c r="G28" s="20" t="b">
        <v>0</v>
      </c>
      <c r="H28" s="21">
        <f t="shared" si="2"/>
        <v>4</v>
      </c>
    </row>
    <row r="29" spans="1:8" ht="47.25" x14ac:dyDescent="0.25">
      <c r="A29" s="13" t="s">
        <v>77</v>
      </c>
      <c r="B29" s="19" t="s">
        <v>78</v>
      </c>
      <c r="C29" s="20" t="b">
        <v>0</v>
      </c>
      <c r="D29" s="20" t="b">
        <v>0</v>
      </c>
      <c r="E29" s="20" t="b">
        <v>0</v>
      </c>
      <c r="F29" s="20" t="b">
        <v>1</v>
      </c>
      <c r="G29" s="20" t="b">
        <v>0</v>
      </c>
      <c r="H29" s="21">
        <f t="shared" si="2"/>
        <v>4</v>
      </c>
    </row>
    <row r="30" spans="1:8" ht="31.5" x14ac:dyDescent="0.25">
      <c r="A30" s="13" t="s">
        <v>79</v>
      </c>
      <c r="B30" s="22" t="s">
        <v>80</v>
      </c>
      <c r="C30" s="20" t="b">
        <v>0</v>
      </c>
      <c r="D30" s="20" t="b">
        <v>0</v>
      </c>
      <c r="E30" s="20" t="b">
        <v>1</v>
      </c>
      <c r="F30" s="20" t="b">
        <v>0</v>
      </c>
      <c r="G30" s="20" t="b">
        <v>0</v>
      </c>
      <c r="H30" s="21">
        <f t="shared" si="2"/>
        <v>3</v>
      </c>
    </row>
    <row r="31" spans="1:8" ht="31.5" x14ac:dyDescent="0.25">
      <c r="A31" s="13" t="s">
        <v>81</v>
      </c>
      <c r="B31" s="22" t="s">
        <v>82</v>
      </c>
      <c r="C31" s="20" t="b">
        <v>0</v>
      </c>
      <c r="D31" s="20" t="b">
        <v>0</v>
      </c>
      <c r="E31" s="20" t="b">
        <v>0</v>
      </c>
      <c r="F31" s="20" t="b">
        <v>1</v>
      </c>
      <c r="G31" s="20" t="b">
        <v>0</v>
      </c>
      <c r="H31" s="21">
        <f t="shared" si="2"/>
        <v>4</v>
      </c>
    </row>
    <row r="32" spans="1:8" ht="47.25" x14ac:dyDescent="0.25">
      <c r="A32" s="13" t="s">
        <v>83</v>
      </c>
      <c r="B32" s="22" t="s">
        <v>84</v>
      </c>
      <c r="C32" s="20" t="b">
        <v>0</v>
      </c>
      <c r="D32" s="20" t="b">
        <v>0</v>
      </c>
      <c r="E32" s="20" t="b">
        <v>0</v>
      </c>
      <c r="F32" s="20" t="b">
        <v>1</v>
      </c>
      <c r="G32" s="20" t="b">
        <v>0</v>
      </c>
      <c r="H32" s="21">
        <f t="shared" si="2"/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13</vt:i4>
      </vt:variant>
    </vt:vector>
  </HeadingPairs>
  <TitlesOfParts>
    <vt:vector size="13" baseType="lpstr">
      <vt:lpstr>BEHAVIOURABILITY</vt:lpstr>
      <vt:lpstr>Quest.Utente1</vt:lpstr>
      <vt:lpstr>MEDIE</vt:lpstr>
      <vt:lpstr>TabRisultati</vt:lpstr>
      <vt:lpstr>Quest.Utente2</vt:lpstr>
      <vt:lpstr>Quest.Utente3</vt:lpstr>
      <vt:lpstr>Quest.Utente4</vt:lpstr>
      <vt:lpstr>Quest.Utente5</vt:lpstr>
      <vt:lpstr>Quest.Utente6</vt:lpstr>
      <vt:lpstr>Quest.Utente7</vt:lpstr>
      <vt:lpstr>Quest.Utente8</vt:lpstr>
      <vt:lpstr>Quest.Utente9</vt:lpstr>
      <vt:lpstr>Quest.Utente10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Utente di Microsoft Office</dc:creator>
  <cp:lastModifiedBy>CHRISTIAN FONTANA</cp:lastModifiedBy>
  <dcterms:created xsi:type="dcterms:W3CDTF">2017-10-12T15:51:15Z</dcterms:created>
  <dcterms:modified xsi:type="dcterms:W3CDTF">2025-11-26T17:25:11Z</dcterms:modified>
</cp:coreProperties>
</file>